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On screen" sheetId="2" state="visible" r:id="rId2"/>
    <sheet xmlns:r="http://schemas.openxmlformats.org/officeDocument/2006/relationships" name="Findings" sheetId="3" state="visible" r:id="rId3"/>
    <sheet xmlns:r="http://schemas.openxmlformats.org/officeDocument/2006/relationships" name="Invoices" sheetId="4" state="visible" r:id="rId4"/>
    <sheet xmlns:r="http://schemas.openxmlformats.org/officeDocument/2006/relationships" name="FX rates" sheetId="5" state="visible" r:id="rId5"/>
    <sheet xmlns:r="http://schemas.openxmlformats.org/officeDocument/2006/relationships" name="Spend by month" sheetId="6" state="visible" r:id="rId6"/>
    <sheet xmlns:r="http://schemas.openxmlformats.org/officeDocument/2006/relationships" name="Quotes" sheetId="7" state="visible" r:id="rId7"/>
    <sheet xmlns:r="http://schemas.openxmlformats.org/officeDocument/2006/relationships" name="Deals" sheetId="8" state="visible" r:id="rId8"/>
    <sheet xmlns:r="http://schemas.openxmlformats.org/officeDocument/2006/relationships" name="Screen coverage" sheetId="9" state="visible" r:id="rId9"/>
  </sheets>
  <definedNames/>
  <calcPr calcId="124519" fullCalcOnLoad="1"/>
</workbook>
</file>

<file path=xl/styles.xml><?xml version="1.0" encoding="utf-8"?>
<styleSheet xmlns="http://schemas.openxmlformats.org/spreadsheetml/2006/main">
  <numFmts count="2">
    <numFmt numFmtId="164" formatCode="0.000000"/>
    <numFmt numFmtId="165" formatCode="0.0&quot;%&quot;"/>
  </numFmts>
  <fonts count="12">
    <font>
      <name val="Calibri"/>
      <family val="2"/>
      <color theme="1"/>
      <sz val="11"/>
      <scheme val="minor"/>
    </font>
    <font>
      <b val="1"/>
      <color rgb="001F3B63"/>
      <sz val="16"/>
    </font>
    <font>
      <color rgb="00666666"/>
      <sz val="9"/>
    </font>
    <font>
      <b val="1"/>
      <color rgb="00FFFFFF"/>
      <sz val="11"/>
    </font>
    <font>
      <b val="1"/>
    </font>
    <font>
      <b val="1"/>
      <color rgb="001F3B63"/>
    </font>
    <font>
      <b val="1"/>
      <color rgb="002F6DF6"/>
    </font>
    <font>
      <color rgb="00555555"/>
      <sz val="9"/>
    </font>
    <font>
      <b val="1"/>
      <color rgb="001F3B63"/>
      <sz val="12"/>
    </font>
    <font>
      <b val="1"/>
      <color rgb="001F3B63"/>
      <sz val="20"/>
    </font>
    <font>
      <color rgb="00444444"/>
      <sz val="11"/>
    </font>
    <font>
      <b val="1"/>
      <color rgb="001F3B63"/>
      <sz val="13"/>
    </font>
  </fonts>
  <fills count="8">
    <fill>
      <patternFill/>
    </fill>
    <fill>
      <patternFill patternType="gray125"/>
    </fill>
    <fill>
      <patternFill patternType="solid">
        <fgColor rgb="001F3B63"/>
      </patternFill>
    </fill>
    <fill>
      <patternFill patternType="solid">
        <fgColor rgb="00FDEBCF"/>
      </patternFill>
    </fill>
    <fill>
      <patternFill patternType="solid">
        <fgColor rgb="00FFF4CC"/>
      </patternFill>
    </fill>
    <fill>
      <patternFill patternType="solid">
        <fgColor rgb="00E8EEF7"/>
      </patternFill>
    </fill>
    <fill>
      <patternFill patternType="solid">
        <fgColor rgb="00D8F0DE"/>
      </patternFill>
    </fill>
    <fill>
      <patternFill patternType="solid">
        <fgColor rgb="00FBD9D9"/>
      </patternFill>
    </fill>
  </fills>
  <borders count="2">
    <border>
      <left/>
      <right/>
      <top/>
      <bottom/>
      <diagonal/>
    </border>
    <border>
      <left style="thin">
        <color rgb="00BFC9D9"/>
      </left>
      <right style="thin">
        <color rgb="00BFC9D9"/>
      </right>
      <top style="thin">
        <color rgb="00BFC9D9"/>
      </top>
      <bottom style="thin">
        <color rgb="00BFC9D9"/>
      </bottom>
    </border>
  </borders>
  <cellStyleXfs count="1">
    <xf numFmtId="0" fontId="0" fillId="0" borderId="0"/>
  </cellStyleXfs>
  <cellXfs count="44">
    <xf numFmtId="0" fontId="0" fillId="0" borderId="0" pivotButton="0" quotePrefix="0" xfId="0"/>
    <xf numFmtId="0" fontId="9" fillId="0" borderId="0" pivotButton="0" quotePrefix="0" xfId="0"/>
    <xf numFmtId="0" fontId="10" fillId="0" borderId="0" pivotButton="0" quotePrefix="0" xfId="0"/>
    <xf numFmtId="0" fontId="4" fillId="0" borderId="0" pivotButton="0" quotePrefix="0" xfId="0"/>
    <xf numFmtId="0" fontId="0" fillId="0" borderId="0" applyAlignment="1" pivotButton="0" quotePrefix="0" xfId="0">
      <alignment vertical="top" wrapText="1"/>
    </xf>
    <xf numFmtId="0" fontId="11" fillId="0" borderId="0" pivotButton="0" quotePrefix="0" xfId="0"/>
    <xf numFmtId="0" fontId="6"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6" fillId="0" borderId="1" pivotButton="0" quotePrefix="0" xfId="0"/>
    <xf numFmtId="0" fontId="7" fillId="0" borderId="1" pivotButton="0" quotePrefix="0" xfId="0"/>
    <xf numFmtId="0" fontId="4" fillId="5" borderId="1" applyAlignment="1" pivotButton="0" quotePrefix="0" xfId="0">
      <alignment horizontal="center"/>
    </xf>
    <xf numFmtId="4" fontId="0" fillId="0" borderId="1" pivotButton="0" quotePrefix="0" xfId="0"/>
    <xf numFmtId="0" fontId="4" fillId="6" borderId="1" applyAlignment="1" pivotButton="0" quotePrefix="0" xfId="0">
      <alignment horizontal="center"/>
    </xf>
    <xf numFmtId="0" fontId="2" fillId="0" borderId="0" pivotButton="0" quotePrefix="0" xfId="0"/>
    <xf numFmtId="0" fontId="4" fillId="0" borderId="1" pivotButton="0" quotePrefix="0" xfId="0"/>
    <xf numFmtId="0" fontId="4" fillId="6" borderId="1" applyAlignment="1" pivotButton="0" quotePrefix="0" xfId="0">
      <alignment horizontal="center" vertical="top"/>
    </xf>
    <xf numFmtId="0" fontId="4" fillId="7" borderId="1" applyAlignment="1" pivotButton="0" quotePrefix="0" xfId="0">
      <alignment horizontal="center" vertical="top"/>
    </xf>
    <xf numFmtId="0" fontId="4" fillId="5" borderId="1" applyAlignment="1" pivotButton="0" quotePrefix="0" xfId="0">
      <alignment horizontal="center" vertical="top"/>
    </xf>
    <xf numFmtId="0" fontId="4" fillId="3" borderId="1" applyAlignment="1" pivotButton="0" quotePrefix="0" xfId="0">
      <alignment horizontal="center" vertical="top"/>
    </xf>
    <xf numFmtId="0" fontId="8" fillId="0" borderId="0" pivotButton="0" quotePrefix="0" xfId="0"/>
    <xf numFmtId="4" fontId="0" fillId="0" borderId="0" pivotButton="0" quotePrefix="0" xfId="0"/>
    <xf numFmtId="164" fontId="0" fillId="0" borderId="0" pivotButton="0" quotePrefix="0" xfId="0"/>
    <xf numFmtId="0" fontId="0" fillId="3" borderId="0" pivotButton="0" quotePrefix="0" xfId="0"/>
    <xf numFmtId="4" fontId="4" fillId="4" borderId="1" pivotButton="0" quotePrefix="0" xfId="0"/>
    <xf numFmtId="0" fontId="5" fillId="0" borderId="0" pivotButton="0" quotePrefix="0" xfId="0"/>
    <xf numFmtId="4" fontId="4" fillId="4" borderId="0" pivotButton="0" quotePrefix="0" xfId="0"/>
    <xf numFmtId="165" fontId="4" fillId="4" borderId="0" pivotButton="0" quotePrefix="0" xfId="0"/>
    <xf numFmtId="1" fontId="4" fillId="4" borderId="0" pivotButton="0" quotePrefix="0" xfId="0"/>
    <xf numFmtId="4" fontId="4" fillId="0" borderId="0" pivotButton="0" quotePrefix="0" xfId="0"/>
    <xf numFmtId="4" fontId="4" fillId="6" borderId="0" pivotButton="0" quotePrefix="0" xfId="0"/>
    <xf numFmtId="0" fontId="0" fillId="7" borderId="0" pivotButton="0" quotePrefix="0" xfId="0"/>
    <xf numFmtId="4" fontId="0" fillId="7" borderId="0" pivotButton="0" quotePrefix="0" xfId="0"/>
    <xf numFmtId="0" fontId="4" fillId="7" borderId="0" pivotButton="0" quotePrefix="0" xfId="0"/>
    <xf numFmtId="4" fontId="4" fillId="7" borderId="0" pivotButton="0" quotePrefix="0" xfId="0"/>
    <xf numFmtId="4" fontId="4" fillId="5" borderId="0" pivotButton="0" quotePrefix="0" xfId="0"/>
    <xf numFmtId="4" fontId="0" fillId="3" borderId="0" pivotButton="0" quotePrefix="0" xfId="0"/>
    <xf numFmtId="1" fontId="0" fillId="3" borderId="0" pivotButton="0" quotePrefix="0" xfId="0"/>
    <xf numFmtId="0" fontId="4" fillId="6" borderId="1" pivotButton="0" quotePrefix="0" xfId="0"/>
    <xf numFmtId="0" fontId="4" fillId="3" borderId="1" pivotButton="0" quotePrefix="0" xfId="0"/>
    <xf numFmtId="0" fontId="4"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9"/>
  <sheetViews>
    <sheetView workbookViewId="0">
      <selection activeCell="A1" sqref="A1"/>
    </sheetView>
  </sheetViews>
  <sheetFormatPr baseColWidth="8" defaultRowHeight="15"/>
  <cols>
    <col width="3" customWidth="1" min="1" max="1"/>
    <col width="30" customWidth="1" min="2" max="2"/>
    <col width="96" customWidth="1" min="3" max="3"/>
  </cols>
  <sheetData>
    <row r="2">
      <c r="B2" s="1" t="inlineStr">
        <is>
          <t>SpendIQ — proving the numbers on screen</t>
        </is>
      </c>
    </row>
    <row r="3">
      <c r="B3" s="2" t="inlineStr">
        <is>
          <t>Every figure the screens display, traced to the records it came from and rebuilt from scratch.</t>
        </is>
      </c>
    </row>
    <row r="6" ht="26" customHeight="1">
      <c r="B6" s="3" t="inlineStr">
        <is>
          <t>What this proves</t>
        </is>
      </c>
      <c r="C6" s="4" t="inlineStr">
        <is>
          <t>That each number on a SpendIQ screen is the number its underlying records actually produce — and shows the calculation, so you can check it rather than take it on trust.</t>
        </is>
      </c>
    </row>
    <row r="7" ht="39" customHeight="1">
      <c r="B7" s="3" t="inlineStr">
        <is>
          <t>Where the screen values came from</t>
        </is>
      </c>
      <c r="C7" s="4" t="inlineStr">
        <is>
          <t>They are the product's own output. The real adapter and formatting code that runs in the browser was executed against live backend responses, and the resulting display strings were captured verbatim. Nothing on the 'On screen' sheet was retyped, rounded or approximated by hand.</t>
        </is>
      </c>
    </row>
    <row r="8" ht="52" customHeight="1">
      <c r="B8" s="3" t="inlineStr">
        <is>
          <t>How each one was checked</t>
        </is>
      </c>
      <c r="C8" s="4" t="inlineStr">
        <is>
          <t>Three independent readings had to agree: what the screen renders, what the backend served, and what the raw records add up to when rebuilt from scratch. The rebuild deliberately avoids the product's own queries — if it reused them, a wrong query would agree with itself and prove nothing.</t>
        </is>
      </c>
    </row>
    <row r="9" ht="39" customHeight="1">
      <c r="B9" s="3" t="inlineStr">
        <is>
          <t>Why the totals are formulas</t>
        </is>
      </c>
      <c r="C9" s="4" t="inlineStr">
        <is>
          <t>Nothing here is a pasted number. The source records are listed in full and every total, conversion, share and percentage is a live Excel formula over them. Click any total to see what it adds up; change a source row and it moves.</t>
        </is>
      </c>
    </row>
    <row r="11" ht="39" customHeight="1">
      <c r="B11" s="3" t="inlineStr">
        <is>
          <t>Start here</t>
        </is>
      </c>
      <c r="C11" s="4" t="inlineStr">
        <is>
          <t>'On screen' — each figure, what it displays, where it comes from, how it is calculated, and the rebuild that confirms it. Then 'Findings' for what the audit turned up and what was done about it.</t>
        </is>
      </c>
    </row>
    <row r="13" ht="26" customHeight="1">
      <c r="B13" s="3" t="inlineStr">
        <is>
          <t>Data source</t>
        </is>
      </c>
      <c r="C13" s="4" t="inlineStr">
        <is>
          <t>Database bp_sqldb, schema proc — the 51-invoice extracted corpus (the gateway now defaults to bp_testdb).</t>
        </is>
      </c>
    </row>
    <row r="14" ht="26" customHeight="1">
      <c r="B14" s="3" t="inlineStr">
        <is>
          <t>Exchange rates</t>
        </is>
      </c>
      <c r="C14" s="4" t="inlineStr">
        <is>
          <t>One shared snapshot taken 2026-07-27T14:26:47.300129+00:00. Rates are USD-quoted: units of currency per 1 USD, so converting into dollars divides.</t>
        </is>
      </c>
    </row>
    <row r="15" ht="26" customHeight="1">
      <c r="B15" s="3" t="inlineStr">
        <is>
          <t>Corpus at time of audit</t>
        </is>
      </c>
      <c r="C15" s="4" t="inlineStr">
        <is>
          <t>51 invoices · 45 quote records (29 quotes) · 39 purchase orders · 123 suppliers · 14 tracked deals</t>
        </is>
      </c>
    </row>
    <row r="17" ht="65" customHeight="1">
      <c r="B17" s="3" t="inlineStr">
        <is>
          <t>Where a screen shows a dash</t>
        </is>
      </c>
      <c r="C17" s="4" t="inlineStr">
        <is>
          <t>Some figures are deliberately not printed. The headline spend is a dash because the corpus spans two currencies and there is no honest single as-billed total — the split is shown beneath it and the currency selector converts on demand. One quote's amount is withheld because its own tax line contradicts it. A dash here is a refusal to state something unproven, not a missing value.</t>
        </is>
      </c>
    </row>
    <row r="18" ht="52" customHeight="1">
      <c r="B18" s="3" t="inlineStr">
        <is>
          <t>What this does NOT cover</t>
        </is>
      </c>
      <c r="C18" s="4" t="inlineStr">
        <is>
          <t>Whether each document was read correctly from its original PDF. This proves the screens faithfully represent the stored records; it does not prove the records faithfully represent the paperwork. That needs a separate check against source files — and finding 2 is what that gap looks like when it surfaces.</t>
        </is>
      </c>
    </row>
    <row r="19" ht="26" customHeight="1">
      <c r="B19" s="3" t="inlineStr">
        <is>
          <t>Scale</t>
        </is>
      </c>
      <c r="C19" s="4" t="inlineStr">
        <is>
          <t>This corpus is 51 invoices. That is enough to prove the calculations are right; it is not enough to prove behaviour at customer volume.</t>
        </is>
      </c>
    </row>
    <row r="21">
      <c r="B21" s="5" t="inlineStr">
        <is>
          <t>Sheets</t>
        </is>
      </c>
    </row>
    <row r="22">
      <c r="B22" s="6" t="inlineStr">
        <is>
          <t>On screen</t>
        </is>
      </c>
      <c r="C22" s="4" t="inlineStr">
        <is>
          <t>Every displayed figure, its calculation, and the rebuild that proves it.</t>
        </is>
      </c>
    </row>
    <row r="23">
      <c r="B23" s="6" t="inlineStr">
        <is>
          <t>Findings</t>
        </is>
      </c>
      <c r="C23" s="4" t="inlineStr">
        <is>
          <t>What the audit turned up, each marked fixed, contained or a decision for you.</t>
        </is>
      </c>
    </row>
    <row r="24">
      <c r="B24" s="6" t="inlineStr">
        <is>
          <t>Invoices</t>
        </is>
      </c>
      <c r="C24" s="4" t="inlineStr">
        <is>
          <t>All invoice records, with the screens' spend blocks rebuilt as live formulas.</t>
        </is>
      </c>
    </row>
    <row r="25">
      <c r="B25" s="6" t="inlineStr">
        <is>
          <t>FX rates</t>
        </is>
      </c>
      <c r="C25" s="4" t="inlineStr">
        <is>
          <t>The one rate snapshot every conversion uses.</t>
        </is>
      </c>
    </row>
    <row r="26">
      <c r="B26" s="6" t="inlineStr">
        <is>
          <t>Spend by month</t>
        </is>
      </c>
      <c r="C26" s="4" t="inlineStr">
        <is>
          <t>The chart series, reconciled to the headline.</t>
        </is>
      </c>
    </row>
    <row r="27">
      <c r="B27" s="6" t="inlineStr">
        <is>
          <t>Quotes</t>
        </is>
      </c>
      <c r="C27" s="4" t="inlineStr">
        <is>
          <t>Quote records by underlying quote — the revision-counting evidence.</t>
        </is>
      </c>
    </row>
    <row r="28">
      <c r="B28" s="6" t="inlineStr">
        <is>
          <t>Deals</t>
        </is>
      </c>
      <c r="C28" s="4" t="inlineStr">
        <is>
          <t>Deal roll-ups and the spend that reaches no deal.</t>
        </is>
      </c>
    </row>
    <row r="29">
      <c r="B29" s="6" t="inlineStr">
        <is>
          <t>Screen coverage</t>
        </is>
      </c>
      <c r="C29" s="4" t="inlineStr">
        <is>
          <t>Which screens are real data and which are still demo content.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5" topLeftCell="A6" activePane="bottomLeft" state="frozen"/>
      <selection pane="bottomLeft" activeCell="A1" sqref="A1"/>
    </sheetView>
  </sheetViews>
  <sheetFormatPr baseColWidth="8" defaultRowHeight="15"/>
  <cols>
    <col width="12" customWidth="1" min="1" max="1"/>
    <col width="25" customWidth="1" min="2" max="2"/>
    <col width="15" customWidth="1" min="3" max="3"/>
    <col width="17" customWidth="1" min="4" max="4"/>
    <col width="26" customWidth="1" min="5" max="5"/>
    <col width="46" customWidth="1" min="6" max="6"/>
    <col width="17" customWidth="1" min="7" max="7"/>
    <col width="10" customWidth="1" min="8" max="8"/>
  </cols>
  <sheetData>
    <row r="1">
      <c r="A1" s="7" t="inlineStr">
        <is>
          <t>Every figure the screens display, and how it is calculated</t>
        </is>
      </c>
    </row>
    <row r="2">
      <c r="A2" s="8" t="inlineStr">
        <is>
          <t>'Shown on screen' is the product's own output — captured by running its real adapter and formatting code over live data, not retyped. 'Rebuilt here' is a live formula over the source sheets. Where the two agree, the figure is proven. Click any cell in the rebuild column to see the arithmetic.</t>
        </is>
      </c>
    </row>
    <row r="3"/>
    <row r="6" ht="32" customHeight="1">
      <c r="A6" s="9" t="inlineStr">
        <is>
          <t>Screen</t>
        </is>
      </c>
      <c r="B6" s="9" t="inlineStr">
        <is>
          <t>What you see</t>
        </is>
      </c>
      <c r="C6" s="9" t="inlineStr">
        <is>
          <t>Shown on screen</t>
        </is>
      </c>
      <c r="D6" s="9" t="inlineStr">
        <is>
          <t>The number behind it</t>
        </is>
      </c>
      <c r="E6" s="9" t="inlineStr">
        <is>
          <t>Where it comes from</t>
        </is>
      </c>
      <c r="F6" s="9" t="inlineStr">
        <is>
          <t>How it is calculated</t>
        </is>
      </c>
      <c r="G6" s="9" t="inlineStr">
        <is>
          <t>Rebuilt here</t>
        </is>
      </c>
      <c r="H6" s="9" t="inlineStr">
        <is>
          <t>Agrees</t>
        </is>
      </c>
    </row>
    <row r="7" ht="60" customHeight="1">
      <c r="A7" s="10" t="inlineStr">
        <is>
          <t>Dashboard</t>
        </is>
      </c>
      <c r="B7" s="11" t="inlineStr">
        <is>
          <t>Invoiced spend</t>
        </is>
      </c>
      <c r="C7" s="12" t="inlineStr">
        <is>
          <t>—</t>
        </is>
      </c>
      <c r="D7" s="10" t="n"/>
      <c r="E7" s="13" t="inlineStr">
        <is>
          <t>metrics.totalSpend</t>
        </is>
      </c>
      <c r="F7" s="11" t="inlineStr">
        <is>
          <t>Deliberately blank. The corpus spans two currencies, so there is no single as-billed total to print; the split is shown beneath instead, and the currency selector converts on demand.</t>
        </is>
      </c>
      <c r="G7" s="10" t="n"/>
      <c r="H7" s="14" t="inlineStr">
        <is>
          <t>n/a</t>
        </is>
      </c>
    </row>
    <row r="8" ht="36" customHeight="1">
      <c r="A8" s="10" t="inlineStr">
        <is>
          <t>Dashboard</t>
        </is>
      </c>
      <c r="B8" s="11" t="inlineStr">
        <is>
          <t>…its sub-line</t>
        </is>
      </c>
      <c r="C8" s="12" t="inlineStr">
        <is>
          <t>£1.8M + $97.5K</t>
        </is>
      </c>
      <c r="D8" s="15" t="n">
        <v>1824950.43</v>
      </c>
      <c r="E8" s="13" t="inlineStr">
        <is>
          <t>metrics.spendByCurrency</t>
        </is>
      </c>
      <c r="F8" s="11" t="inlineStr">
        <is>
          <t>Each currency totalled separately and joined with a plus. No conversion, so nothing is assumed.</t>
        </is>
      </c>
      <c r="G8" s="15">
        <f>'Invoices'!B63</f>
        <v/>
      </c>
      <c r="H8" s="16">
        <f>IF(AND(ISNUMBER(D8),ISNUMBER(G8)),IF(ABS(D8-G8)&lt;0.05,"yes","NO"),"see note")</f>
        <v/>
      </c>
    </row>
    <row r="9" ht="48" customHeight="1">
      <c r="A9" s="10" t="inlineStr">
        <is>
          <t>Dashboard</t>
        </is>
      </c>
      <c r="B9" s="11" t="inlineStr">
        <is>
          <t>Spend under management</t>
        </is>
      </c>
      <c r="C9" s="12" t="inlineStr">
        <is>
          <t>98.1%</t>
        </is>
      </c>
      <c r="D9" s="15" t="n">
        <v>98.09999999999999</v>
      </c>
      <c r="E9" s="13" t="inlineStr">
        <is>
          <t>metrics.spendUnderManagement</t>
        </is>
      </c>
      <c r="F9" s="11" t="inlineStr">
        <is>
          <t>Invoiced spend backed by a purchase order, divided by all invoiced spend. Both sides converted on the same live rate, so the ratio compares like with like.</t>
        </is>
      </c>
      <c r="G9" s="15">
        <f>'Invoices'!B67</f>
        <v/>
      </c>
      <c r="H9" s="16">
        <f>IF(AND(ISNUMBER(D9),ISNUMBER(G9)),IF(ABS(D9-G9)&lt;0.05,"yes","NO"),"see note")</f>
        <v/>
      </c>
    </row>
    <row r="10" ht="36" customHeight="1">
      <c r="A10" s="10" t="inlineStr">
        <is>
          <t>Dashboard</t>
        </is>
      </c>
      <c r="B10" s="11" t="inlineStr">
        <is>
          <t>Savings identified</t>
        </is>
      </c>
      <c r="C10" s="12" t="inlineStr">
        <is>
          <t>£0</t>
        </is>
      </c>
      <c r="D10" s="10" t="n">
        <v>0</v>
      </c>
      <c r="E10" s="13" t="inlineStr">
        <is>
          <t>metrics.savingsIdentified</t>
        </is>
      </c>
      <c r="F10" s="11" t="inlineStr">
        <is>
          <t>Sum of financial impact across opportunity records. There are none yet, so this is a measured zero rather than a placeholder.</t>
        </is>
      </c>
      <c r="G10" s="10" t="n">
        <v>0</v>
      </c>
      <c r="H10" s="16">
        <f>IF(AND(ISNUMBER(D10),ISNUMBER(G10)),IF(ABS(D10-G10)&lt;0.05,"yes","NO"),"see note")</f>
        <v/>
      </c>
    </row>
    <row r="11" ht="30" customHeight="1">
      <c r="A11" s="10" t="inlineStr">
        <is>
          <t>Dashboard</t>
        </is>
      </c>
      <c r="B11" s="11" t="inlineStr">
        <is>
          <t>Suppliers</t>
        </is>
      </c>
      <c r="C11" s="12" t="inlineStr">
        <is>
          <t>123</t>
        </is>
      </c>
      <c r="D11" s="10" t="n">
        <v>123</v>
      </c>
      <c r="E11" s="13" t="inlineStr">
        <is>
          <t>metrics.supplierCount</t>
        </is>
      </c>
      <c r="F11" s="11" t="inlineStr">
        <is>
          <t>Every supplier on the master list, whether or not they have billed.</t>
        </is>
      </c>
      <c r="G11" s="10" t="n">
        <v>123</v>
      </c>
      <c r="H11" s="16">
        <f>IF(AND(ISNUMBER(D11),ISNUMBER(G11)),IF(ABS(D11-G11)&lt;0.05,"yes","NO"),"see note")</f>
        <v/>
      </c>
    </row>
    <row r="12" ht="60" customHeight="1">
      <c r="A12" s="10" t="inlineStr">
        <is>
          <t>Dashboard</t>
        </is>
      </c>
      <c r="B12" s="11" t="inlineStr">
        <is>
          <t>…invoiced</t>
        </is>
      </c>
      <c r="C12" s="12" t="inlineStr">
        <is>
          <t>19 invoiced</t>
        </is>
      </c>
      <c r="D12" s="10" t="n">
        <v>19</v>
      </c>
      <c r="E12" s="13" t="inlineStr">
        <is>
          <t>metrics.suppliersWithSpend</t>
        </is>
      </c>
      <c r="F12" s="11" t="inlineStr">
        <is>
          <t>Distinct suppliers appearing on an invoice. Four invoices carry no supplier and are excluded here — their spend is still counted in the totals, and shows on Analyse as 'Unassigned supplier'.</t>
        </is>
      </c>
      <c r="G12" s="15">
        <f>'Invoices'!B69</f>
        <v/>
      </c>
      <c r="H12" s="16">
        <f>IF(AND(ISNUMBER(D12),ISNUMBER(G12)),IF(ABS(D12-G12)&lt;0.05,"yes","NO"),"see note")</f>
        <v/>
      </c>
    </row>
    <row r="13" ht="48" customHeight="1">
      <c r="A13" s="10" t="inlineStr">
        <is>
          <t>Dashboard</t>
        </is>
      </c>
      <c r="B13" s="11" t="inlineStr">
        <is>
          <t>Quotes</t>
        </is>
      </c>
      <c r="C13" s="12" t="inlineStr">
        <is>
          <t>29</t>
        </is>
      </c>
      <c r="D13" s="10" t="n">
        <v>29</v>
      </c>
      <c r="E13" s="13" t="inlineStr">
        <is>
          <t>metrics.quoteCount</t>
        </is>
      </c>
      <c r="F13" s="11" t="inlineStr">
        <is>
          <t>Quotes, counted once each. A revised quote is stored as several records; they are resolved to one quote at its latest revision before counting.</t>
        </is>
      </c>
      <c r="G13" s="10" t="n">
        <v>29</v>
      </c>
      <c r="H13" s="16">
        <f>IF(AND(ISNUMBER(D13),ISNUMBER(G13)),IF(ABS(D13-G13)&lt;0.05,"yes","NO"),"see note")</f>
        <v/>
      </c>
    </row>
    <row r="14" ht="30" customHeight="1">
      <c r="A14" s="10" t="inlineStr">
        <is>
          <t>Dashboard</t>
        </is>
      </c>
      <c r="B14" s="11" t="inlineStr">
        <is>
          <t>Purchase orders</t>
        </is>
      </c>
      <c r="C14" s="12" t="inlineStr">
        <is>
          <t>39</t>
        </is>
      </c>
      <c r="D14" s="10" t="n">
        <v>39</v>
      </c>
      <c r="E14" s="13" t="inlineStr">
        <is>
          <t>metrics.poCount</t>
        </is>
      </c>
      <c r="F14" s="11" t="inlineStr">
        <is>
          <t>Count of purchase-order records.</t>
        </is>
      </c>
      <c r="G14" s="10" t="n">
        <v>39</v>
      </c>
      <c r="H14" s="16">
        <f>IF(AND(ISNUMBER(D14),ISNUMBER(G14)),IF(ABS(D14-G14)&lt;0.05,"yes","NO"),"see note")</f>
        <v/>
      </c>
    </row>
    <row r="15" ht="30" customHeight="1">
      <c r="A15" s="10" t="inlineStr">
        <is>
          <t>Analyse</t>
        </is>
      </c>
      <c r="B15" s="11" t="inlineStr">
        <is>
          <t>Invoiced spend</t>
        </is>
      </c>
      <c r="C15" s="12" t="inlineStr">
        <is>
          <t>—</t>
        </is>
      </c>
      <c r="D15" s="10" t="n"/>
      <c r="E15" s="13" t="inlineStr">
        <is>
          <t>metrics.totalSpend</t>
        </is>
      </c>
      <c r="F15" s="11" t="inlineStr">
        <is>
          <t>Same figure and same rule as the Dashboard — the two screens read one source.</t>
        </is>
      </c>
      <c r="G15" s="10" t="n"/>
      <c r="H15" s="14" t="inlineStr">
        <is>
          <t>n/a</t>
        </is>
      </c>
    </row>
    <row r="16" ht="36" customHeight="1">
      <c r="A16" s="10" t="inlineStr">
        <is>
          <t>Analyse</t>
        </is>
      </c>
      <c r="B16" s="11" t="inlineStr">
        <is>
          <t>Savings realised</t>
        </is>
      </c>
      <c r="C16" s="12" t="inlineStr">
        <is>
          <t>£0</t>
        </is>
      </c>
      <c r="D16" s="10" t="n">
        <v>0</v>
      </c>
      <c r="E16" s="13" t="inlineStr">
        <is>
          <t>metrics.savingsRealized</t>
        </is>
      </c>
      <c r="F16" s="11" t="inlineStr">
        <is>
          <t>Sum of realised savings on opportunity records. None have progressed, so this is a measured zero.</t>
        </is>
      </c>
      <c r="G16" s="10" t="n">
        <v>0</v>
      </c>
      <c r="H16" s="16">
        <f>IF(AND(ISNUMBER(D16),ISNUMBER(G16)),IF(ABS(D16-G16)&lt;0.05,"yes","NO"),"see note")</f>
        <v/>
      </c>
    </row>
    <row r="17" ht="48" customHeight="1">
      <c r="A17" s="10" t="inlineStr">
        <is>
          <t>Analyse</t>
        </is>
      </c>
      <c r="B17" s="11" t="inlineStr">
        <is>
          <t>Deals</t>
        </is>
      </c>
      <c r="C17" s="12" t="inlineStr">
        <is>
          <t>14</t>
        </is>
      </c>
      <c r="D17" s="10" t="n">
        <v>14</v>
      </c>
      <c r="E17" s="13" t="inlineStr">
        <is>
          <t>metrics.dealCount</t>
        </is>
      </c>
      <c r="F17" s="11" t="inlineStr">
        <is>
          <t>Tracked deals — the same population the Pipeline screen lists, so the two cannot disagree. Uncommitted drafts are not counted here; they appear as draft analyses.</t>
        </is>
      </c>
      <c r="G17" s="10" t="n">
        <v>14</v>
      </c>
      <c r="H17" s="16">
        <f>IF(AND(ISNUMBER(D17),ISNUMBER(G17)),IF(ABS(D17-G17)&lt;0.05,"yes","NO"),"see note")</f>
        <v/>
      </c>
    </row>
    <row r="18" ht="48" customHeight="1">
      <c r="A18" s="10" t="inlineStr">
        <is>
          <t>Analyse</t>
        </is>
      </c>
      <c r="B18" s="11" t="inlineStr">
        <is>
          <t>Top spend row 1 (Orbis Platform Sol)</t>
        </is>
      </c>
      <c r="C18" s="12" t="inlineStr">
        <is>
          <t>£1.1M</t>
        </is>
      </c>
      <c r="D18" s="15" t="n">
        <v>1116000</v>
      </c>
      <c r="E18" s="13" t="inlineStr">
        <is>
          <t>analyse.topRows[0].spend</t>
        </is>
      </c>
      <c r="F18" s="11" t="inlineStr">
        <is>
          <t>That supplier's invoices summed as billed. A currency symbol is printed only because this supplier billed in a single currency; a supplier billing in several shows a dash.</t>
        </is>
      </c>
      <c r="G18" s="15">
        <f>SUMIF(Invoices!$B$7:$B$57,"Orbis Platform Solutions Ltd",Invoices!G$7:G$57)</f>
        <v/>
      </c>
      <c r="H18" s="16">
        <f>IF(AND(ISNUMBER(D18),ISNUMBER(G18)),IF(ABS(D18-G18)&lt;0.05,"yes","NO"),"see note")</f>
        <v/>
      </c>
    </row>
    <row r="19" ht="48" customHeight="1">
      <c r="A19" s="10" t="inlineStr">
        <is>
          <t>Analyse</t>
        </is>
      </c>
      <c r="B19" s="11" t="inlineStr">
        <is>
          <t>…its share</t>
        </is>
      </c>
      <c r="C19" s="12" t="inlineStr">
        <is>
          <t>59%</t>
        </is>
      </c>
      <c r="D19" s="10" t="n">
        <v>59</v>
      </c>
      <c r="E19" s="13" t="inlineStr">
        <is>
          <t>analyse.topRows[0].spendUsd</t>
        </is>
      </c>
      <c r="F19" s="11" t="inlineStr">
        <is>
          <t>The supplier's converted spend divided by the converted total of the table. Computed on the converted figures because shares of a mixed-currency sum are meaningless.</t>
        </is>
      </c>
      <c r="G19" s="15">
        <f>ROUND(SUMIF(Invoices!$B$7:$B$57,"Orbis Platform Solutions Ltd",Invoices!L$7:L$57)/SUM(Invoices!L7:L57)*100,0)</f>
        <v/>
      </c>
      <c r="H19" s="16">
        <f>IF(AND(ISNUMBER(D19),ISNUMBER(G19)),IF(ABS(D19-G19)&lt;0.05,"yes","NO"),"see note")</f>
        <v/>
      </c>
    </row>
    <row r="20" ht="60" customHeight="1">
      <c r="A20" s="10" t="inlineStr">
        <is>
          <t>Analyse</t>
        </is>
      </c>
      <c r="B20" s="11" t="inlineStr">
        <is>
          <t>Unassigned supplier</t>
        </is>
      </c>
      <c r="C20" s="12" t="inlineStr">
        <is>
          <t>—</t>
        </is>
      </c>
      <c r="D20" s="10" t="n"/>
      <c r="E20" s="13" t="inlineStr">
        <is>
          <t>analyse.topRows</t>
        </is>
      </c>
      <c r="F20" s="11" t="inlineStr">
        <is>
          <t>The four invoices with no supplier, grouped and labelled rather than dropped, so the table still reconciles to the headline. A dash, not a figure, because these four span two currencies.</t>
        </is>
      </c>
      <c r="G20" s="10" t="n"/>
      <c r="H20" s="14" t="inlineStr">
        <is>
          <t>n/a</t>
        </is>
      </c>
    </row>
    <row r="21" ht="30" customHeight="1">
      <c r="A21" s="10" t="inlineStr">
        <is>
          <t>Pipeline</t>
        </is>
      </c>
      <c r="B21" s="11" t="inlineStr">
        <is>
          <t>Deals in flight</t>
        </is>
      </c>
      <c r="C21" s="12" t="inlineStr">
        <is>
          <t>14</t>
        </is>
      </c>
      <c r="D21" s="10" t="n">
        <v>14</v>
      </c>
      <c r="E21" s="13" t="inlineStr">
        <is>
          <t>deals[]</t>
        </is>
      </c>
      <c r="F21" s="11" t="inlineStr">
        <is>
          <t>The tracked deals listed on the screen.</t>
        </is>
      </c>
      <c r="G21" s="10" t="n">
        <v>14</v>
      </c>
      <c r="H21" s="16">
        <f>IF(AND(ISNUMBER(D21),ISNUMBER(G21)),IF(ABS(D21-G21)&lt;0.05,"yes","NO"),"see note")</f>
        <v/>
      </c>
    </row>
    <row r="22" ht="72" customHeight="1">
      <c r="A22" s="10" t="inlineStr">
        <is>
          <t>Pipeline</t>
        </is>
      </c>
      <c r="B22" s="11" t="inlineStr">
        <is>
          <t>Invoiced total</t>
        </is>
      </c>
      <c r="C22" s="12" t="inlineStr">
        <is>
          <t>£189.3K</t>
        </is>
      </c>
      <c r="D22" s="15" t="n">
        <v>189280.61</v>
      </c>
      <c r="E22" s="13" t="inlineStr">
        <is>
          <t>deals.kpis.invoicedTotalUsd</t>
        </is>
      </c>
      <c r="F22" s="11" t="inlineStr">
        <is>
          <t>Invoice value across the tracked deals listed, converted — these deals are billed in several currencies, so there is no native total to show and the tile says so. It previously added them 1:1 and printed a sterling symbol.</t>
        </is>
      </c>
      <c r="G22" s="10" t="n">
        <v>189280.61</v>
      </c>
      <c r="H22" s="16">
        <f>IF(AND(ISNUMBER(D22),ISNUMBER(G22)),IF(ABS(D22-G22)&lt;0.05,"yes","NO"),"see note")</f>
        <v/>
      </c>
    </row>
    <row r="23" ht="48" customHeight="1">
      <c r="A23" s="10" t="inlineStr">
        <is>
          <t>Pipeline</t>
        </is>
      </c>
      <c r="B23" s="11" t="inlineStr">
        <is>
          <t>Invoices not on this screen</t>
        </is>
      </c>
      <c r="C23" s="12" t="inlineStr">
        <is>
          <t>26 invoices</t>
        </is>
      </c>
      <c r="D23" s="10" t="n">
        <v>26</v>
      </c>
      <c r="E23" s="13" t="inlineStr">
        <is>
          <t>deals.unattached.invoiceCount</t>
        </is>
      </c>
      <c r="F23" s="11" t="inlineStr">
        <is>
          <t>Invoices linked to no tracked deal. The screen totals spend by deal, so without this line their spend would simply be absent — and absent reads as non-existent.</t>
        </is>
      </c>
      <c r="G23" s="10" t="n">
        <v>26</v>
      </c>
      <c r="H23" s="16">
        <f>IF(AND(ISNUMBER(D23),ISNUMBER(G23)),IF(ABS(D23-G23)&lt;0.05,"yes","NO"),"see note")</f>
        <v/>
      </c>
    </row>
    <row r="24" ht="48" customHeight="1">
      <c r="A24" s="10" t="inlineStr">
        <is>
          <t>Pipeline</t>
        </is>
      </c>
      <c r="B24" s="11" t="inlineStr">
        <is>
          <t>…their spend</t>
        </is>
      </c>
      <c r="C24" s="12" t="inlineStr">
        <is>
          <t>$2.3M</t>
        </is>
      </c>
      <c r="D24" s="15" t="n">
        <v>2279817.49</v>
      </c>
      <c r="E24" s="13" t="inlineStr">
        <is>
          <t>deals.unattached.spendUsd</t>
        </is>
      </c>
      <c r="F24" s="11" t="inlineStr">
        <is>
          <t>Those invoices converted on the live rate. Large because the biggest deal is an uncommitted draft, so it and its invoices sit outside the Pipeline entirely.</t>
        </is>
      </c>
      <c r="G24" s="15">
        <f>Deals!B27</f>
        <v/>
      </c>
      <c r="H24" s="16">
        <f>IF(AND(ISNUMBER(D24),ISNUMBER(G24)),IF(ABS(D24-G24)&lt;0.05,"yes","NO"),"see note")</f>
        <v/>
      </c>
    </row>
    <row r="25" ht="48" customHeight="1">
      <c r="A25" s="10" t="inlineStr">
        <is>
          <t>Quotes</t>
        </is>
      </c>
      <c r="B25" s="11" t="inlineStr">
        <is>
          <t>Quote records</t>
        </is>
      </c>
      <c r="C25" s="12" t="inlineStr">
        <is>
          <t>45</t>
        </is>
      </c>
      <c r="D25" s="10" t="n">
        <v>45</v>
      </c>
      <c r="E25" s="13" t="inlineStr">
        <is>
          <t>quotes.total</t>
        </is>
      </c>
      <c r="F25" s="11" t="inlineStr">
        <is>
          <t>Every quote document held, revisions included. Labelled 'records' so it cannot be read as the number of quotes — the sub-line gives that.</t>
        </is>
      </c>
      <c r="G25" s="10" t="n">
        <v>45</v>
      </c>
      <c r="H25" s="16">
        <f>IF(AND(ISNUMBER(D25),ISNUMBER(G25)),IF(ABS(D25-G25)&lt;0.05,"yes","NO"),"see note")</f>
        <v/>
      </c>
    </row>
    <row r="26" ht="96" customHeight="1">
      <c r="A26" s="10" t="inlineStr">
        <is>
          <t>Quotes</t>
        </is>
      </c>
      <c r="B26" s="11" t="inlineStr">
        <is>
          <t>Total quoted value</t>
        </is>
      </c>
      <c r="C26" s="12" t="inlineStr">
        <is>
          <t>$18.2M</t>
        </is>
      </c>
      <c r="D26" s="15" t="n">
        <v>18166894.69</v>
      </c>
      <c r="E26" s="13" t="inlineStr">
        <is>
          <t>quotes.summary.totalValueUsd</t>
        </is>
      </c>
      <c r="F26" s="11" t="inlineStr">
        <is>
          <t>Latest revision of each quote only. Summing every revision would add three rounds of one negotiation together. One quote is excluded entirely: its recorded net exceeds its tax-inclusive total, so the figure is withheld. Converted, because the corpus spans several currencies and a native sum could not carry a symbol.</t>
        </is>
      </c>
      <c r="G26" s="10" t="n">
        <v>18166894.69</v>
      </c>
      <c r="H26" s="16">
        <f>IF(AND(ISNUMBER(D26),ISNUMBER(G26)),IF(ABS(D26-G26)&lt;0.05,"yes","NO"),"see note")</f>
        <v/>
      </c>
    </row>
    <row r="27" ht="30" customHeight="1">
      <c r="A27" s="10" t="inlineStr">
        <is>
          <t>Invoices</t>
        </is>
      </c>
      <c r="B27" s="11" t="inlineStr">
        <is>
          <t>Invoices</t>
        </is>
      </c>
      <c r="C27" s="12" t="inlineStr">
        <is>
          <t>51</t>
        </is>
      </c>
      <c r="D27" s="10" t="n">
        <v>51</v>
      </c>
      <c r="E27" s="13" t="inlineStr">
        <is>
          <t>invoices.total</t>
        </is>
      </c>
      <c r="F27" s="11" t="inlineStr">
        <is>
          <t>Count of invoice records.</t>
        </is>
      </c>
      <c r="G27" s="10" t="n">
        <v>51</v>
      </c>
      <c r="H27" s="16">
        <f>IF(AND(ISNUMBER(D27),ISNUMBER(G27)),IF(ABS(D27-G27)&lt;0.05,"yes","NO"),"see note")</f>
        <v/>
      </c>
    </row>
    <row r="28" ht="60" customHeight="1">
      <c r="A28" s="10" t="inlineStr">
        <is>
          <t>Suppliers</t>
        </is>
      </c>
      <c r="B28" s="11" t="inlineStr">
        <is>
          <t>Total spend</t>
        </is>
      </c>
      <c r="C28" s="12" t="inlineStr">
        <is>
          <t>$2.5M</t>
        </is>
      </c>
      <c r="D28" s="15" t="n">
        <v>2455083.456045693</v>
      </c>
      <c r="E28" s="13" t="inlineStr">
        <is>
          <t>suppliers.summary.totalSpendUsd</t>
        </is>
      </c>
      <c r="F28" s="11" t="inlineStr">
        <is>
          <t>Converted invoiced spend that resolves to a named supplier. It sits below the Dashboard headline by exactly the spend on the four supplier-less invoices — the label says 'matched to a supplier' for that reason.</t>
        </is>
      </c>
      <c r="G28" s="15">
        <f>'Invoices'!B68</f>
        <v/>
      </c>
      <c r="H28" s="16">
        <f>IF(AND(ISNUMBER(D28),ISNUMBER(G28)),IF(ABS(D28-G28)&lt;0.05,"yes","NO"),"see note")</f>
        <v/>
      </c>
    </row>
    <row r="29" ht="96" customHeight="1">
      <c r="A29" s="10" t="inlineStr">
        <is>
          <t>Suppliers</t>
        </is>
      </c>
      <c r="B29" s="11" t="inlineStr">
        <is>
          <t>With paid spend</t>
        </is>
      </c>
      <c r="C29" s="12" t="inlineStr">
        <is>
          <t>19</t>
        </is>
      </c>
      <c r="D29" s="10" t="n">
        <v>19</v>
      </c>
      <c r="E29" s="13" t="inlineStr">
        <is>
          <t>suppliers.summary.withSpend</t>
        </is>
      </c>
      <c r="F29" s="11" t="inlineStr">
        <is>
          <t>Suppliers whose invoices NET to more than zero. This can sit one below the Dashboard's 'invoiced' count, which counts anyone with an invoice at all: on this corpus one supplier has an invoice and a credit note that cancel exactly, so it is invoiced but has no net spend. Both figures are right; they answer different questions.</t>
        </is>
      </c>
      <c r="G29" s="10" t="n">
        <v>19</v>
      </c>
      <c r="H29" s="16">
        <f>IF(AND(ISNUMBER(D29),ISNUMBER(G29)),IF(ABS(D29-G29)&lt;0.05,"yes","NO"),"see note")</f>
        <v/>
      </c>
    </row>
    <row r="31">
      <c r="B31" s="17" t="inlineStr">
        <is>
          <t>Rows marked 'n/a' are figures the screen deliberately does not print as a number — a dash where no honest single value exists, or a pre-formatted label. The reason is given in the calculation column.</t>
        </is>
      </c>
    </row>
  </sheetData>
  <mergeCells count="2">
    <mergeCell ref="B31:H31"/>
    <mergeCell ref="A2: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5" topLeftCell="A6" activePane="bottomLeft" state="frozen"/>
      <selection pane="bottomLeft" activeCell="A1" sqref="A1"/>
    </sheetView>
  </sheetViews>
  <sheetFormatPr baseColWidth="8" defaultRowHeight="15"/>
  <cols>
    <col width="5" customWidth="1" min="1" max="1"/>
    <col width="14" customWidth="1" min="2" max="2"/>
    <col width="12" customWidth="1" min="3" max="3"/>
    <col width="40" customWidth="1" min="4" max="4"/>
    <col width="29" customWidth="1" min="5" max="5"/>
    <col width="50" customWidth="1" min="6" max="6"/>
    <col width="42" customWidth="1" min="7" max="7"/>
  </cols>
  <sheetData>
    <row r="1">
      <c r="A1" s="7" t="inlineStr">
        <is>
          <t>What the audit turned up</t>
        </is>
      </c>
    </row>
    <row r="2">
      <c r="A2" s="8" t="inlineStr">
        <is>
          <t>Everything found across this audit, with the size of each and what was done. 'Fixed' items were corrected and are pinned by automated tests that fail if they regress.</t>
        </is>
      </c>
    </row>
    <row r="3"/>
    <row r="6" ht="32" customHeight="1">
      <c r="A6" s="9" t="inlineStr">
        <is>
          <t>No.</t>
        </is>
      </c>
      <c r="B6" s="9" t="inlineStr">
        <is>
          <t>Status</t>
        </is>
      </c>
      <c r="C6" s="9" t="inlineStr">
        <is>
          <t>Severity</t>
        </is>
      </c>
      <c r="D6" s="9" t="inlineStr">
        <is>
          <t>What was wrong</t>
        </is>
      </c>
      <c r="E6" s="9" t="inlineStr">
        <is>
          <t>Size of it</t>
        </is>
      </c>
      <c r="F6" s="9" t="inlineStr">
        <is>
          <t>Why it happened</t>
        </is>
      </c>
      <c r="G6" s="9" t="inlineStr">
        <is>
          <t>What was done</t>
        </is>
      </c>
    </row>
    <row r="7" ht="50" customHeight="1">
      <c r="A7" s="18" t="n">
        <v>1</v>
      </c>
      <c r="B7" s="19" t="inlineStr">
        <is>
          <t>FIXED</t>
        </is>
      </c>
      <c r="C7" s="20" t="inlineStr">
        <is>
          <t>High</t>
        </is>
      </c>
      <c r="D7" s="11" t="inlineStr">
        <is>
          <t>Quotes were counted and valued once per revision, not once per quote.</t>
        </is>
      </c>
      <c r="E7" s="11" t="inlineStr">
        <is>
          <t>45 records are 29 quotes. Quoted value read £35.4M against £17.0M.</t>
        </is>
      </c>
      <c r="F7" s="11" t="inlineStr">
        <is>
          <t>Revisions are stored as separate rows and every query counted rows. BAFO rounds are the LOWEST of a series, so summing every round inflated a number that should be falling.</t>
        </is>
      </c>
      <c r="G7" s="11" t="inlineStr">
        <is>
          <t>Counts and totals resolve to the latest revision. The register still lists every revision and now labels the count 'Quote records' so it cannot be misread.</t>
        </is>
      </c>
    </row>
    <row r="8" ht="108" customHeight="1">
      <c r="A8" s="18" t="n">
        <v>2</v>
      </c>
      <c r="B8" s="21" t="inlineStr">
        <is>
          <t>CONTAINED</t>
        </is>
      </c>
      <c r="C8" s="20" t="inlineStr">
        <is>
          <t>High</t>
        </is>
      </c>
      <c r="D8" s="11" t="inlineStr">
        <is>
          <t>One quote records a net larger than its tax-inclusive total, which cannot be true.</t>
        </is>
      </c>
      <c r="E8" s="11" t="inlineStr">
        <is>
          <t>ORB-Q-6612: net £3,335,591 against gross £1,315,200. Its tax line implies £1,096,000.</t>
        </is>
      </c>
      <c r="F8" s="11" t="inlineStr">
        <is>
          <t>Mis-read at extraction. The pipeline DID detect it, but filed it as one of 84 routine reconciliation warnings across 41 documents, so it was indistinguishable from ordinary discount and rounding gaps.</t>
        </is>
      </c>
      <c r="G8" s="11" t="inlineStr">
        <is>
          <t>Extraction now raises a distinct CRITICAL finding for the impossible case only — narrow by design, since blocking the general mismatch would stop a third of all documents. The screens withhold the figure and say why. The document still needs re-extracting: the true value must come from the page, not from our arithmetic.</t>
        </is>
      </c>
    </row>
    <row r="9" ht="50" customHeight="1">
      <c r="A9" s="18" t="n">
        <v>3</v>
      </c>
      <c r="B9" s="19" t="inlineStr">
        <is>
          <t>FIXED</t>
        </is>
      </c>
      <c r="C9" s="20" t="inlineStr">
        <is>
          <t>High</t>
        </is>
      </c>
      <c r="D9" s="11" t="inlineStr">
        <is>
          <t>The Pipeline screen described a fraction of spend while appearing to describe all of it.</t>
        </is>
      </c>
      <c r="E9" s="11" t="inlineStr">
        <is>
          <t>26 of 51 invoices reach no tracked deal. Pipeline covers £189,281 of a £1,922,469 corpus.</t>
        </is>
      </c>
      <c r="F9" s="11" t="inlineStr">
        <is>
          <t>The largest deal is an uncommitted draft, so it and its invoices sit outside the Pipeline. Spend absent from a by-deal roll-up looks identical to spend that does not exist.</t>
        </is>
      </c>
      <c r="G9" s="11" t="inlineStr">
        <is>
          <t>The screen now states the uncovered figure. Committing that draft, or explaining why it is still a draft, is a product decision rather than a code fix.</t>
        </is>
      </c>
    </row>
    <row r="10" ht="50" customHeight="1">
      <c r="A10" s="18" t="n">
        <v>4</v>
      </c>
      <c r="B10" s="19" t="inlineStr">
        <is>
          <t>FIXED</t>
        </is>
      </c>
      <c r="C10" s="22" t="inlineStr">
        <is>
          <t>Medium</t>
        </is>
      </c>
      <c r="D10" s="11" t="inlineStr">
        <is>
          <t>The monthly chart did not add up to the headline figure printed above it.</t>
        </is>
      </c>
      <c r="E10" s="11" t="inlineStr">
        <is>
          <t>Chart $2,536,980 against a headline of $2,532,354.</t>
        </is>
      </c>
      <c r="F10" s="11" t="inlineStr">
        <is>
          <t>The chart converted on each record's stored rate; the headline used the live snapshot.</t>
        </is>
      </c>
      <c r="G10" s="11" t="inlineStr">
        <is>
          <t>Both now use the live snapshot and agree to the penny.</t>
        </is>
      </c>
    </row>
    <row r="11" ht="50" customHeight="1">
      <c r="A11" s="18" t="n">
        <v>5</v>
      </c>
      <c r="B11" s="19" t="inlineStr">
        <is>
          <t>FIXED</t>
        </is>
      </c>
      <c r="C11" s="22" t="inlineStr">
        <is>
          <t>Medium</t>
        </is>
      </c>
      <c r="D11" s="11" t="inlineStr">
        <is>
          <t>The top-10 supplier share divided figures measured on two different rate bases.</t>
        </is>
      </c>
      <c r="E11" s="11" t="inlineStr">
        <is>
          <t>Published 98.6%; on a consistent basis 98.4%.</t>
        </is>
      </c>
      <c r="F11" s="11" t="inlineStr">
        <is>
          <t>The supplier ranking was never moved onto the live rate when the headline was.</t>
        </is>
      </c>
      <c r="G11" s="11" t="inlineStr">
        <is>
          <t>Ranking converts on the live rate. A test recomputes every supplier and fails if they diverge.</t>
        </is>
      </c>
    </row>
    <row r="12" ht="50" customHeight="1">
      <c r="A12" s="18" t="n">
        <v>6</v>
      </c>
      <c r="B12" s="19" t="inlineStr">
        <is>
          <t>FIXED</t>
        </is>
      </c>
      <c r="C12" s="22" t="inlineStr">
        <is>
          <t>Medium</t>
        </is>
      </c>
      <c r="D12" s="11" t="inlineStr">
        <is>
          <t>Three spend figures added pounds and dollars together and printed a £ on the result.</t>
        </is>
      </c>
      <c r="E12" s="11" t="inlineStr">
        <is>
          <t>Analyse's spend table read £1,922,469 for £1,824,950 + $97,519. The Analyse and trend charts did the same.</t>
        </is>
      </c>
      <c r="F12" s="11" t="inlineStr">
        <is>
          <t>Those queries summed as-billed amounts with no conversion — the places the safeguards used elsewhere had not reached.</t>
        </is>
      </c>
      <c r="G12" s="11" t="inlineStr">
        <is>
          <t>All three convert before summing. A symbol is printed only for a supplier that billed in one currency; otherwise a dash.</t>
        </is>
      </c>
    </row>
    <row r="13" ht="50" customHeight="1">
      <c r="A13" s="18" t="n">
        <v>7</v>
      </c>
      <c r="B13" s="19" t="inlineStr">
        <is>
          <t>FIXED</t>
        </is>
      </c>
      <c r="C13" s="22" t="inlineStr">
        <is>
          <t>Medium</t>
        </is>
      </c>
      <c r="D13" s="11" t="inlineStr">
        <is>
          <t>Three screens gave three different answers to 'how many deals'.</t>
        </is>
      </c>
      <c r="E13" s="11" t="inlineStr">
        <is>
          <t>Analyse said 15, Pipeline listed 14, the Home summary card said 15, the nav badge said 15.</t>
        </is>
      </c>
      <c r="F13" s="11" t="inlineStr">
        <is>
          <t>Each counted a different population; the Home card and badge read a view covering every deal including drafts.</t>
        </is>
      </c>
      <c r="G13" s="11" t="inlineStr">
        <is>
          <t>All four now count tracked deals — the population the Pipeline screen lists.</t>
        </is>
      </c>
    </row>
    <row r="14" ht="50" customHeight="1">
      <c r="A14" s="18" t="n">
        <v>8</v>
      </c>
      <c r="B14" s="19" t="inlineStr">
        <is>
          <t>FIXED</t>
        </is>
      </c>
      <c r="C14" s="21" t="inlineStr">
        <is>
          <t>Low</t>
        </is>
      </c>
      <c r="D14" s="11" t="inlineStr">
        <is>
          <t>Four invoices carry no supplier and their spend belonged to no row.</t>
        </is>
      </c>
      <c r="E14" s="11" t="inlineStr">
        <is>
          <t>4 of 51 invoices, £58,190 as billed.</t>
        </is>
      </c>
      <c r="F14" s="11" t="inlineStr">
        <is>
          <t>The supplier could not be resolved at extraction.</t>
        </is>
      </c>
      <c r="G14" s="11" t="inlineStr">
        <is>
          <t>Grouped and labelled 'Unassigned supplier' so the table still reconciles to the headline. Resolving the real supplier remains a data task.</t>
        </is>
      </c>
    </row>
    <row r="15" ht="60" customHeight="1">
      <c r="A15" s="18" t="n">
        <v>9</v>
      </c>
      <c r="B15" s="21" t="inlineStr">
        <is>
          <t>MITIGATED</t>
        </is>
      </c>
      <c r="C15" s="22" t="inlineStr">
        <is>
          <t>Medium</t>
        </is>
      </c>
      <c r="D15" s="11" t="inlineStr">
        <is>
          <t>The same currency is stored against different rates across records.</t>
        </is>
      </c>
      <c r="E15" s="11" t="inlineStr">
        <is>
          <t>Sterling invoices carry stored rates from 1.27 to 1.3445 — a 5.9% spread.</t>
        </is>
      </c>
      <c r="F15" s="11" t="inlineStr">
        <is>
          <t>The rate is stamped on each record at extraction, so records extracted at different times keep different rates.</t>
        </is>
      </c>
      <c r="G15" s="11" t="inlineStr">
        <is>
          <t>No displayed figure depends on the stored rate any more; everything converts at read time from one table. The data is still inconsistent and re-stamping it remains worthwhile.</t>
        </is>
      </c>
    </row>
    <row r="16" ht="50" customHeight="1">
      <c r="A16" s="18" t="n">
        <v>10</v>
      </c>
      <c r="B16" s="21" t="inlineStr">
        <is>
          <t>BY DESIGN</t>
        </is>
      </c>
      <c r="C16" s="21" t="inlineStr">
        <is>
          <t>Low</t>
        </is>
      </c>
      <c r="D16" s="11" t="inlineStr">
        <is>
          <t>The Analyse spend chart does not total the Invoiced-spend KPI beside it.</t>
        </is>
      </c>
      <c r="E16" s="11" t="inlineStr">
        <is>
          <t>The chart covers the selected range (FY26 by default); the KPI covers the whole corpus.</t>
        </is>
      </c>
      <c r="F16" s="11" t="inlineStr">
        <is>
          <t>The chart has a range selector and the KPI does not.</t>
        </is>
      </c>
      <c r="G16" s="11" t="inlineStr">
        <is>
          <t>Left as is — this is the range selector working. Worth labelling the chart with its range so the difference is obvious.</t>
        </is>
      </c>
    </row>
    <row r="17" ht="50" customHeight="1">
      <c r="A17" s="18" t="n">
        <v>11</v>
      </c>
      <c r="B17" s="22" t="inlineStr">
        <is>
          <t>NO DATA YET</t>
        </is>
      </c>
      <c r="C17" s="21" t="inlineStr">
        <is>
          <t>Low</t>
        </is>
      </c>
      <c r="D17" s="11" t="inlineStr">
        <is>
          <t>Savings figures and the Negotiations screen are empty.</t>
        </is>
      </c>
      <c r="E17" s="11" t="inlineStr">
        <is>
          <t>Both savings KPIs show £0; Negotiations has no rows.</t>
        </is>
      </c>
      <c r="F17" s="11" t="inlineStr">
        <is>
          <t>No opportunity records exist yet. The zero is measured, not assumed.</t>
        </is>
      </c>
      <c r="G17" s="11" t="inlineStr">
        <is>
          <t>Nothing to fix: the screens are correct and will populate when the detectors run. Worth saying so on screen.</t>
        </is>
      </c>
    </row>
    <row r="18" ht="50" customHeight="1">
      <c r="A18" s="18" t="n">
        <v>12</v>
      </c>
      <c r="B18" s="22" t="inlineStr">
        <is>
          <t>PRODUCT CALL</t>
        </is>
      </c>
      <c r="C18" s="21" t="inlineStr">
        <is>
          <t>Low</t>
        </is>
      </c>
      <c r="D18" s="11" t="inlineStr">
        <is>
          <t>Two screens show demo content, and one is part demo.</t>
        </is>
      </c>
      <c r="E18" s="11" t="inlineStr">
        <is>
          <t>Demand intake and Third-party risk are examples; Requirements is part real, part scripted.</t>
        </is>
      </c>
      <c r="F18" s="11" t="inlineStr">
        <is>
          <t>No ingestion built yet. Each already carries an on-screen notice.</t>
        </is>
      </c>
      <c r="G18" s="11" t="inlineStr">
        <is>
          <t>A decision, not a defect: build the ingestion or hide them for customer use. Inventing data is not an option.</t>
        </is>
      </c>
    </row>
    <row r="20">
      <c r="B20" s="23" t="inlineStr">
        <is>
          <t>7 fixed and verified live · 1 contained (bad value no longer published; document still needs re-extracting) · 1 mitigated · 3 are not code defects</t>
        </is>
      </c>
    </row>
  </sheetData>
  <mergeCells count="2">
    <mergeCell ref="B20:G20"/>
    <mergeCell ref="A2:G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9"/>
  <sheetViews>
    <sheetView workbookViewId="0">
      <pane ySplit="5" topLeftCell="A6" activePane="bottomLeft" state="frozen"/>
      <selection pane="bottomLeft" activeCell="A1" sqref="A1"/>
    </sheetView>
  </sheetViews>
  <sheetFormatPr baseColWidth="8" defaultRowHeight="15"/>
  <cols>
    <col width="21" customWidth="1" min="1" max="1"/>
    <col width="33" customWidth="1" min="2" max="2"/>
    <col width="24" customWidth="1" min="3" max="3"/>
    <col width="15" customWidth="1" min="4" max="4"/>
    <col width="9" customWidth="1" min="5" max="5"/>
    <col width="9" customWidth="1" min="6" max="6"/>
    <col width="14" customWidth="1" min="7" max="7"/>
    <col width="15" customWidth="1" min="8" max="8"/>
    <col width="12" customWidth="1" min="9" max="9"/>
    <col width="12" customWidth="1" min="10" max="10"/>
    <col width="12" customWidth="1" min="11" max="11"/>
    <col width="15" customWidth="1" min="12" max="12"/>
    <col width="15" customWidth="1" min="13" max="13"/>
    <col width="15" customWidth="1" min="14" max="14"/>
    <col width="11" customWidth="1" min="15" max="15"/>
  </cols>
  <sheetData>
    <row r="1">
      <c r="A1" s="7" t="inlineStr">
        <is>
          <t>Invoice records — the source behind every spend figure on screen</t>
        </is>
      </c>
    </row>
    <row r="2">
      <c r="A2" s="8" t="inlineStr">
        <is>
          <t>Every invoice held, exactly as stored. The rate is looked up from the 'FX rates' sheet by formula, and the two conversion columns are formulas over it. The totals at the bottom are what the screens' spend figures are built from — change a row and they move.</t>
        </is>
      </c>
    </row>
    <row r="3"/>
    <row r="6" ht="32" customHeight="1">
      <c r="A6" s="9" t="inlineStr">
        <is>
          <t>Invoice</t>
        </is>
      </c>
      <c r="B6" s="9" t="inlineStr">
        <is>
          <t>Supplier</t>
        </is>
      </c>
      <c r="C6" s="9" t="inlineStr">
        <is>
          <t>Supplier ID</t>
        </is>
      </c>
      <c r="D6" s="9" t="inlineStr">
        <is>
          <t>PO</t>
        </is>
      </c>
      <c r="E6" s="9" t="inlineStr">
        <is>
          <t>PO found</t>
        </is>
      </c>
      <c r="F6" s="9" t="inlineStr">
        <is>
          <t>Ccy</t>
        </is>
      </c>
      <c r="G6" s="9" t="inlineStr">
        <is>
          <t>Net amount</t>
        </is>
      </c>
      <c r="H6" s="9" t="inlineStr">
        <is>
          <t>Gross (incl tax)</t>
        </is>
      </c>
      <c r="I6" s="9" t="inlineStr">
        <is>
          <t>Tax</t>
        </is>
      </c>
      <c r="J6" s="9" t="inlineStr">
        <is>
          <t>Rate stored</t>
        </is>
      </c>
      <c r="K6" s="9" t="inlineStr">
        <is>
          <t>Rate live</t>
        </is>
      </c>
      <c r="L6" s="9" t="inlineStr">
        <is>
          <t>Net in USD (live)</t>
        </is>
      </c>
      <c r="M6" s="9" t="inlineStr">
        <is>
          <t>Net in USD (stored)</t>
        </is>
      </c>
      <c r="N6" s="9" t="inlineStr">
        <is>
          <t>Stored USD col</t>
        </is>
      </c>
      <c r="O6" s="9" t="inlineStr">
        <is>
          <t>Date</t>
        </is>
      </c>
    </row>
    <row r="7">
      <c r="A7" t="inlineStr">
        <is>
          <t>123456/22</t>
        </is>
      </c>
      <c r="B7" t="inlineStr">
        <is>
          <t>FASHION QUEEN</t>
        </is>
      </c>
      <c r="C7" t="inlineStr">
        <is>
          <t>SUP-FashionQueen</t>
        </is>
      </c>
      <c r="D7" t="inlineStr">
        <is>
          <t>123456/22</t>
        </is>
      </c>
      <c r="E7" t="inlineStr">
        <is>
          <t>yes</t>
        </is>
      </c>
      <c r="F7" t="inlineStr">
        <is>
          <t>USD</t>
        </is>
      </c>
      <c r="G7" s="24" t="n">
        <v>3565</v>
      </c>
      <c r="H7" s="24" t="n">
        <v>3729.35</v>
      </c>
      <c r="I7" s="24" t="n"/>
      <c r="J7" s="25" t="n">
        <v>1</v>
      </c>
      <c r="K7" s="25">
        <f>IFERROR(VLOOKUP(F7,'FX rates'!$A$7:$B$40,2,FALSE),"")</f>
        <v/>
      </c>
      <c r="L7" s="24">
        <f>IF(OR(G7="",K7="",K7=0),"",G7/K7)</f>
        <v/>
      </c>
      <c r="M7" s="24">
        <f>IF(OR(G7="",J7=""),"",G7*J7)</f>
        <v/>
      </c>
      <c r="N7" s="24" t="n">
        <v>3729.35</v>
      </c>
      <c r="O7" t="inlineStr">
        <is>
          <t>2022-09-22</t>
        </is>
      </c>
    </row>
    <row r="8">
      <c r="A8" t="inlineStr">
        <is>
          <t>132548</t>
        </is>
      </c>
      <c r="B8" t="inlineStr">
        <is>
          <t>Duncan LLC</t>
        </is>
      </c>
      <c r="C8" t="inlineStr">
        <is>
          <t>SUP-DuncanLlc</t>
        </is>
      </c>
      <c r="D8" t="inlineStr">
        <is>
          <t>526702</t>
        </is>
      </c>
      <c r="E8" t="inlineStr">
        <is>
          <t>yes</t>
        </is>
      </c>
      <c r="F8" t="inlineStr">
        <is>
          <t>GBP</t>
        </is>
      </c>
      <c r="G8" s="24" t="n">
        <v>2131.05</v>
      </c>
      <c r="H8" s="24" t="n">
        <v>2557.26</v>
      </c>
      <c r="I8" s="24" t="n">
        <v>426.21</v>
      </c>
      <c r="J8" s="25" t="n">
        <v>1.27</v>
      </c>
      <c r="K8" s="25">
        <f>IFERROR(VLOOKUP(F8,'FX rates'!$A$7:$B$40,2,FALSE),"")</f>
        <v/>
      </c>
      <c r="L8" s="24">
        <f>IF(OR(G8="",K8="",K8=0),"",G8/K8)</f>
        <v/>
      </c>
      <c r="M8" s="24">
        <f>IF(OR(G8="",J8=""),"",G8*J8)</f>
        <v/>
      </c>
      <c r="N8" s="24" t="n">
        <v>3247.72</v>
      </c>
      <c r="O8" t="inlineStr">
        <is>
          <t>2024-10-01</t>
        </is>
      </c>
    </row>
    <row r="9">
      <c r="A9" t="inlineStr">
        <is>
          <t>132666</t>
        </is>
      </c>
      <c r="B9" t="inlineStr">
        <is>
          <t>Duncan LLC</t>
        </is>
      </c>
      <c r="C9" t="inlineStr">
        <is>
          <t>SUP-DuncanLlc</t>
        </is>
      </c>
      <c r="D9" t="inlineStr">
        <is>
          <t>526702</t>
        </is>
      </c>
      <c r="E9" t="inlineStr">
        <is>
          <t>yes</t>
        </is>
      </c>
      <c r="F9" t="inlineStr">
        <is>
          <t>GBP</t>
        </is>
      </c>
      <c r="G9" s="24" t="n">
        <v>2399.7</v>
      </c>
      <c r="H9" s="24" t="n">
        <v>2879.64</v>
      </c>
      <c r="I9" s="24" t="n">
        <v>479.94</v>
      </c>
      <c r="J9" s="25" t="n">
        <v>1.27</v>
      </c>
      <c r="K9" s="25">
        <f>IFERROR(VLOOKUP(F9,'FX rates'!$A$7:$B$40,2,FALSE),"")</f>
        <v/>
      </c>
      <c r="L9" s="24">
        <f>IF(OR(G9="",K9="",K9=0),"",G9/K9)</f>
        <v/>
      </c>
      <c r="M9" s="24">
        <f>IF(OR(G9="",J9=""),"",G9*J9)</f>
        <v/>
      </c>
      <c r="N9" s="24" t="n">
        <v>3657.14</v>
      </c>
      <c r="O9" t="inlineStr">
        <is>
          <t>2024-01-10</t>
        </is>
      </c>
    </row>
    <row r="10">
      <c r="A10" t="inlineStr">
        <is>
          <t>148769</t>
        </is>
      </c>
      <c r="B10" t="inlineStr">
        <is>
          <t>Perry Ltd</t>
        </is>
      </c>
      <c r="C10" t="inlineStr">
        <is>
          <t>SUP-PerryLtd</t>
        </is>
      </c>
      <c r="D10" t="inlineStr">
        <is>
          <t>526689</t>
        </is>
      </c>
      <c r="E10" t="inlineStr">
        <is>
          <t>yes</t>
        </is>
      </c>
      <c r="F10" t="inlineStr">
        <is>
          <t>GBP</t>
        </is>
      </c>
      <c r="G10" s="24" t="n">
        <v>2826.65</v>
      </c>
      <c r="H10" s="24" t="n">
        <v>3391.98</v>
      </c>
      <c r="I10" s="24" t="n">
        <v>565.33</v>
      </c>
      <c r="J10" s="25" t="n">
        <v>1.27</v>
      </c>
      <c r="K10" s="25">
        <f>IFERROR(VLOOKUP(F10,'FX rates'!$A$7:$B$40,2,FALSE),"")</f>
        <v/>
      </c>
      <c r="L10" s="24">
        <f>IF(OR(G10="",K10="",K10=0),"",G10/K10)</f>
        <v/>
      </c>
      <c r="M10" s="24">
        <f>IF(OR(G10="",J10=""),"",G10*J10)</f>
        <v/>
      </c>
      <c r="N10" s="24" t="n">
        <v>4307.81</v>
      </c>
      <c r="O10" t="inlineStr">
        <is>
          <t>2024-09-27</t>
        </is>
      </c>
    </row>
    <row r="11">
      <c r="A11" t="inlineStr">
        <is>
          <t>2025-290</t>
        </is>
      </c>
      <c r="B11" t="inlineStr">
        <is>
          <t>Eleanor Price Creative Studio</t>
        </is>
      </c>
      <c r="C11" t="inlineStr">
        <is>
          <t>SUP-EleanorPriceCreativeStudio</t>
        </is>
      </c>
      <c r="D11" t="inlineStr">
        <is>
          <t>389948</t>
        </is>
      </c>
      <c r="E11" t="inlineStr">
        <is>
          <t>yes</t>
        </is>
      </c>
      <c r="F11" t="inlineStr">
        <is>
          <t>GBP</t>
        </is>
      </c>
      <c r="G11" s="24" t="n">
        <v>1200</v>
      </c>
      <c r="H11" s="24" t="n">
        <v>1440</v>
      </c>
      <c r="I11" s="24" t="n">
        <v>240</v>
      </c>
      <c r="J11" s="25" t="n">
        <v>1.27</v>
      </c>
      <c r="K11" s="25">
        <f>IFERROR(VLOOKUP(F11,'FX rates'!$A$7:$B$40,2,FALSE),"")</f>
        <v/>
      </c>
      <c r="L11" s="24">
        <f>IF(OR(G11="",K11="",K11=0),"",G11/K11)</f>
        <v/>
      </c>
      <c r="M11" s="24">
        <f>IF(OR(G11="",J11=""),"",G11*J11)</f>
        <v/>
      </c>
      <c r="N11" s="24" t="n">
        <v>1828.8</v>
      </c>
      <c r="O11" t="inlineStr">
        <is>
          <t>2020-04-01</t>
        </is>
      </c>
    </row>
    <row r="12">
      <c r="A12" t="inlineStr">
        <is>
          <t>2025-291</t>
        </is>
      </c>
      <c r="B12" t="inlineStr">
        <is>
          <t>Eleanor Price Creative Studio</t>
        </is>
      </c>
      <c r="C12" t="inlineStr">
        <is>
          <t>SUP-EleanorPriceCreativeStudio</t>
        </is>
      </c>
      <c r="D12" t="inlineStr">
        <is>
          <t>389948</t>
        </is>
      </c>
      <c r="E12" t="inlineStr">
        <is>
          <t>yes</t>
        </is>
      </c>
      <c r="F12" t="inlineStr">
        <is>
          <t>GBP</t>
        </is>
      </c>
      <c r="G12" s="24" t="n">
        <v>1200</v>
      </c>
      <c r="H12" s="24" t="n">
        <v>1440</v>
      </c>
      <c r="I12" s="24" t="n">
        <v>240</v>
      </c>
      <c r="J12" s="25" t="n">
        <v>1.27</v>
      </c>
      <c r="K12" s="25">
        <f>IFERROR(VLOOKUP(F12,'FX rates'!$A$7:$B$40,2,FALSE),"")</f>
        <v/>
      </c>
      <c r="L12" s="24">
        <f>IF(OR(G12="",K12="",K12=0),"",G12/K12)</f>
        <v/>
      </c>
      <c r="M12" s="24">
        <f>IF(OR(G12="",J12=""),"",G12*J12)</f>
        <v/>
      </c>
      <c r="N12" s="24" t="n">
        <v>1828.8</v>
      </c>
      <c r="O12" t="inlineStr">
        <is>
          <t>2020-05-01</t>
        </is>
      </c>
    </row>
    <row r="13">
      <c r="A13" t="inlineStr">
        <is>
          <t>2025-292</t>
        </is>
      </c>
      <c r="B13" t="inlineStr">
        <is>
          <t>Eleanor Price Creative Studio</t>
        </is>
      </c>
      <c r="C13" t="inlineStr">
        <is>
          <t>SUP-EleanorPriceCreativeStudio</t>
        </is>
      </c>
      <c r="D13" t="inlineStr">
        <is>
          <t>389948</t>
        </is>
      </c>
      <c r="E13" t="inlineStr">
        <is>
          <t>yes</t>
        </is>
      </c>
      <c r="F13" t="inlineStr">
        <is>
          <t>GBP</t>
        </is>
      </c>
      <c r="G13" s="24" t="n">
        <v>1200</v>
      </c>
      <c r="H13" s="24" t="n">
        <v>1440</v>
      </c>
      <c r="I13" s="24" t="n">
        <v>240</v>
      </c>
      <c r="J13" s="25" t="n">
        <v>1.27</v>
      </c>
      <c r="K13" s="25">
        <f>IFERROR(VLOOKUP(F13,'FX rates'!$A$7:$B$40,2,FALSE),"")</f>
        <v/>
      </c>
      <c r="L13" s="24">
        <f>IF(OR(G13="",K13="",K13=0),"",G13/K13)</f>
        <v/>
      </c>
      <c r="M13" s="24">
        <f>IF(OR(G13="",J13=""),"",G13*J13)</f>
        <v/>
      </c>
      <c r="N13" s="24" t="n">
        <v>1828.8</v>
      </c>
      <c r="O13" t="inlineStr">
        <is>
          <t>2020-06-01</t>
        </is>
      </c>
    </row>
    <row r="14">
      <c r="A14" t="inlineStr">
        <is>
          <t>4759275</t>
        </is>
      </c>
      <c r="B14" t="inlineStr">
        <is>
          <t>NEXASPARK</t>
        </is>
      </c>
      <c r="C14" t="inlineStr">
        <is>
          <t>SUP-Nexaspark</t>
        </is>
      </c>
      <c r="D14" t="inlineStr">
        <is>
          <t>506789</t>
        </is>
      </c>
      <c r="E14" t="inlineStr">
        <is>
          <t>yes</t>
        </is>
      </c>
      <c r="F14" t="inlineStr">
        <is>
          <t>GBP</t>
        </is>
      </c>
      <c r="G14" s="24" t="n">
        <v>10000</v>
      </c>
      <c r="H14" s="24" t="n">
        <v>12000</v>
      </c>
      <c r="I14" s="24" t="n">
        <v>2000</v>
      </c>
      <c r="J14" s="25" t="n">
        <v>1.27</v>
      </c>
      <c r="K14" s="25">
        <f>IFERROR(VLOOKUP(F14,'FX rates'!$A$7:$B$40,2,FALSE),"")</f>
        <v/>
      </c>
      <c r="L14" s="24">
        <f>IF(OR(G14="",K14="",K14=0),"",G14/K14)</f>
        <v/>
      </c>
      <c r="M14" s="24">
        <f>IF(OR(G14="",J14=""),"",G14*J14)</f>
        <v/>
      </c>
      <c r="N14" s="24" t="n">
        <v>15240</v>
      </c>
      <c r="O14" t="inlineStr">
        <is>
          <t>2025-06-12</t>
        </is>
      </c>
    </row>
    <row r="15">
      <c r="A15" t="inlineStr">
        <is>
          <t>4759276</t>
        </is>
      </c>
      <c r="B15" t="inlineStr">
        <is>
          <t>NEXASPARK</t>
        </is>
      </c>
      <c r="C15" t="inlineStr">
        <is>
          <t>SUP-Nexaspark</t>
        </is>
      </c>
      <c r="D15" t="inlineStr">
        <is>
          <t>506789</t>
        </is>
      </c>
      <c r="E15" t="inlineStr">
        <is>
          <t>yes</t>
        </is>
      </c>
      <c r="F15" t="inlineStr">
        <is>
          <t>GBP</t>
        </is>
      </c>
      <c r="G15" s="24" t="n">
        <v>15000</v>
      </c>
      <c r="H15" s="24" t="n">
        <v>18000</v>
      </c>
      <c r="I15" s="24" t="n">
        <v>3000</v>
      </c>
      <c r="J15" s="25" t="n">
        <v>1.27</v>
      </c>
      <c r="K15" s="25">
        <f>IFERROR(VLOOKUP(F15,'FX rates'!$A$7:$B$40,2,FALSE),"")</f>
        <v/>
      </c>
      <c r="L15" s="24">
        <f>IF(OR(G15="",K15="",K15=0),"",G15/K15)</f>
        <v/>
      </c>
      <c r="M15" s="24">
        <f>IF(OR(G15="",J15=""),"",G15*J15)</f>
        <v/>
      </c>
      <c r="N15" s="24" t="n">
        <v>22860</v>
      </c>
      <c r="O15" t="inlineStr">
        <is>
          <t>2025-12-12</t>
        </is>
      </c>
    </row>
    <row r="16">
      <c r="A16" t="inlineStr">
        <is>
          <t>DHA-2025-143</t>
        </is>
      </c>
      <c r="B16" t="inlineStr">
        <is>
          <t>Design House Agency</t>
        </is>
      </c>
      <c r="C16" t="inlineStr">
        <is>
          <t>SUP-DesignHouseAgency</t>
        </is>
      </c>
      <c r="D16" t="inlineStr">
        <is>
          <t>438295</t>
        </is>
      </c>
      <c r="E16" t="inlineStr">
        <is>
          <t>yes</t>
        </is>
      </c>
      <c r="F16" t="inlineStr">
        <is>
          <t>GBP</t>
        </is>
      </c>
      <c r="G16" s="24" t="n">
        <v>2000</v>
      </c>
      <c r="H16" s="24" t="n">
        <v>2400</v>
      </c>
      <c r="I16" s="24" t="n">
        <v>400</v>
      </c>
      <c r="J16" s="25" t="n">
        <v>1.27</v>
      </c>
      <c r="K16" s="25">
        <f>IFERROR(VLOOKUP(F16,'FX rates'!$A$7:$B$40,2,FALSE),"")</f>
        <v/>
      </c>
      <c r="L16" s="24">
        <f>IF(OR(G16="",K16="",K16=0),"",G16/K16)</f>
        <v/>
      </c>
      <c r="M16" s="24">
        <f>IF(OR(G16="",J16=""),"",G16*J16)</f>
        <v/>
      </c>
      <c r="N16" s="24" t="n">
        <v>3048</v>
      </c>
      <c r="O16" t="inlineStr">
        <is>
          <t>2022-07-01</t>
        </is>
      </c>
    </row>
    <row r="17">
      <c r="A17" t="inlineStr">
        <is>
          <t>DHA-2025-144</t>
        </is>
      </c>
      <c r="B17" t="inlineStr">
        <is>
          <t>Design House Agency</t>
        </is>
      </c>
      <c r="C17" t="inlineStr">
        <is>
          <t>SUP-DesignHouseAgency</t>
        </is>
      </c>
      <c r="D17" t="inlineStr">
        <is>
          <t>438295</t>
        </is>
      </c>
      <c r="E17" t="inlineStr">
        <is>
          <t>yes</t>
        </is>
      </c>
      <c r="F17" t="inlineStr">
        <is>
          <t>GBP</t>
        </is>
      </c>
      <c r="G17" s="24" t="n">
        <v>2000</v>
      </c>
      <c r="H17" s="24" t="n">
        <v>2400</v>
      </c>
      <c r="I17" s="24" t="n">
        <v>400</v>
      </c>
      <c r="J17" s="25" t="n">
        <v>1.27</v>
      </c>
      <c r="K17" s="25">
        <f>IFERROR(VLOOKUP(F17,'FX rates'!$A$7:$B$40,2,FALSE),"")</f>
        <v/>
      </c>
      <c r="L17" s="24">
        <f>IF(OR(G17="",K17="",K17=0),"",G17/K17)</f>
        <v/>
      </c>
      <c r="M17" s="24">
        <f>IF(OR(G17="",J17=""),"",G17*J17)</f>
        <v/>
      </c>
      <c r="N17" s="24" t="n">
        <v>3048</v>
      </c>
      <c r="O17" t="inlineStr">
        <is>
          <t>2022-08-01</t>
        </is>
      </c>
    </row>
    <row r="18">
      <c r="A18" t="inlineStr">
        <is>
          <t>DHA-2025-145</t>
        </is>
      </c>
      <c r="B18" t="inlineStr">
        <is>
          <t>Design House Agency</t>
        </is>
      </c>
      <c r="C18" t="inlineStr">
        <is>
          <t>SUP-DesignHouseAgency</t>
        </is>
      </c>
      <c r="D18" t="inlineStr">
        <is>
          <t>438295</t>
        </is>
      </c>
      <c r="E18" t="inlineStr">
        <is>
          <t>yes</t>
        </is>
      </c>
      <c r="F18" t="inlineStr">
        <is>
          <t>GBP</t>
        </is>
      </c>
      <c r="G18" s="24" t="n">
        <v>2000</v>
      </c>
      <c r="H18" s="24" t="n">
        <v>2400</v>
      </c>
      <c r="I18" s="24" t="n">
        <v>400</v>
      </c>
      <c r="J18" s="25" t="n">
        <v>1.27</v>
      </c>
      <c r="K18" s="25">
        <f>IFERROR(VLOOKUP(F18,'FX rates'!$A$7:$B$40,2,FALSE),"")</f>
        <v/>
      </c>
      <c r="L18" s="24">
        <f>IF(OR(G18="",K18="",K18=0),"",G18/K18)</f>
        <v/>
      </c>
      <c r="M18" s="24">
        <f>IF(OR(G18="",J18=""),"",G18*J18)</f>
        <v/>
      </c>
      <c r="N18" s="24" t="n">
        <v>3048</v>
      </c>
      <c r="O18" t="inlineStr">
        <is>
          <t>2022-09-01</t>
        </is>
      </c>
    </row>
    <row r="19">
      <c r="A19" t="inlineStr">
        <is>
          <t>INV-1011</t>
        </is>
      </c>
      <c r="B19" t="inlineStr">
        <is>
          <t>CREATIVE DESIGN AGENCY</t>
        </is>
      </c>
      <c r="C19" t="inlineStr">
        <is>
          <t>SUP-CreativeDesignAgency</t>
        </is>
      </c>
      <c r="D19" t="inlineStr">
        <is>
          <t>—</t>
        </is>
      </c>
      <c r="E19" t="inlineStr">
        <is>
          <t>no</t>
        </is>
      </c>
      <c r="F19" t="inlineStr">
        <is>
          <t>USD</t>
        </is>
      </c>
      <c r="G19" s="24" t="n">
        <v>23680</v>
      </c>
      <c r="H19" s="24" t="n">
        <v>24980</v>
      </c>
      <c r="I19" s="24" t="n"/>
      <c r="J19" s="25" t="n">
        <v>1</v>
      </c>
      <c r="K19" s="25">
        <f>IFERROR(VLOOKUP(F19,'FX rates'!$A$7:$B$40,2,FALSE),"")</f>
        <v/>
      </c>
      <c r="L19" s="24">
        <f>IF(OR(G19="",K19="",K19=0),"",G19/K19)</f>
        <v/>
      </c>
      <c r="M19" s="24">
        <f>IF(OR(G19="",J19=""),"",G19*J19)</f>
        <v/>
      </c>
      <c r="N19" s="24" t="n">
        <v>24980</v>
      </c>
      <c r="O19" t="inlineStr">
        <is>
          <t>2022-01-22</t>
        </is>
      </c>
    </row>
    <row r="20">
      <c r="A20" t="inlineStr">
        <is>
          <t>INV-154586</t>
        </is>
      </c>
      <c r="B20" s="26" t="inlineStr">
        <is>
          <t>(no supplier on record)</t>
        </is>
      </c>
      <c r="C20" t="inlineStr">
        <is>
          <t>—</t>
        </is>
      </c>
      <c r="D20" t="inlineStr">
        <is>
          <t>154586</t>
        </is>
      </c>
      <c r="E20" t="inlineStr">
        <is>
          <t>yes</t>
        </is>
      </c>
      <c r="F20" t="inlineStr">
        <is>
          <t>USD</t>
        </is>
      </c>
      <c r="G20" s="24" t="n">
        <v>1094</v>
      </c>
      <c r="H20" s="24" t="n">
        <v>1212.6</v>
      </c>
      <c r="I20" s="24" t="n">
        <v>109.4</v>
      </c>
      <c r="J20" s="25" t="n">
        <v>1</v>
      </c>
      <c r="K20" s="25">
        <f>IFERROR(VLOOKUP(F20,'FX rates'!$A$7:$B$40,2,FALSE),"")</f>
        <v/>
      </c>
      <c r="L20" s="24">
        <f>IF(OR(G20="",K20="",K20=0),"",G20/K20)</f>
        <v/>
      </c>
      <c r="M20" s="24">
        <f>IF(OR(G20="",J20=""),"",G20*J20)</f>
        <v/>
      </c>
      <c r="N20" s="24" t="n">
        <v>1212.6</v>
      </c>
      <c r="O20" t="inlineStr">
        <is>
          <t>2022-05-02</t>
        </is>
      </c>
    </row>
    <row r="21">
      <c r="A21" t="inlineStr">
        <is>
          <t>INV-2023010B</t>
        </is>
      </c>
      <c r="B21" t="inlineStr">
        <is>
          <t>Coffee Bliss Suppliers</t>
        </is>
      </c>
      <c r="C21" t="inlineStr">
        <is>
          <t>SUP-CoffeeBlissSuppliers</t>
        </is>
      </c>
      <c r="D21" t="inlineStr">
        <is>
          <t>PO2023010</t>
        </is>
      </c>
      <c r="E21" t="inlineStr">
        <is>
          <t>yes</t>
        </is>
      </c>
      <c r="F21" t="inlineStr">
        <is>
          <t>USD</t>
        </is>
      </c>
      <c r="G21" s="24" t="n">
        <v>5825</v>
      </c>
      <c r="H21" s="24" t="n">
        <v>6232.75</v>
      </c>
      <c r="I21" s="24" t="n">
        <v>407.75</v>
      </c>
      <c r="J21" s="25" t="n">
        <v>1</v>
      </c>
      <c r="K21" s="25">
        <f>IFERROR(VLOOKUP(F21,'FX rates'!$A$7:$B$40,2,FALSE),"")</f>
        <v/>
      </c>
      <c r="L21" s="24">
        <f>IF(OR(G21="",K21="",K21=0),"",G21/K21)</f>
        <v/>
      </c>
      <c r="M21" s="24">
        <f>IF(OR(G21="",J21=""),"",G21*J21)</f>
        <v/>
      </c>
      <c r="N21" s="24" t="n">
        <v>6232.75</v>
      </c>
      <c r="O21" t="inlineStr">
        <is>
          <t>2023-03-05</t>
        </is>
      </c>
    </row>
    <row r="22">
      <c r="A22" t="inlineStr">
        <is>
          <t>INV-2023010-X2</t>
        </is>
      </c>
      <c r="B22" t="inlineStr">
        <is>
          <t>Coffee Bliss Suppliers</t>
        </is>
      </c>
      <c r="C22" t="inlineStr">
        <is>
          <t>SUP-CoffeeBlissSuppliers</t>
        </is>
      </c>
      <c r="D22" t="inlineStr">
        <is>
          <t>PO2023010</t>
        </is>
      </c>
      <c r="E22" t="inlineStr">
        <is>
          <t>yes</t>
        </is>
      </c>
      <c r="F22" t="inlineStr">
        <is>
          <t>USD</t>
        </is>
      </c>
      <c r="G22" s="24" t="n">
        <v>5825</v>
      </c>
      <c r="H22" s="24" t="n">
        <v>6232.75</v>
      </c>
      <c r="I22" s="24" t="n">
        <v>407.75</v>
      </c>
      <c r="J22" s="25" t="n">
        <v>1</v>
      </c>
      <c r="K22" s="25">
        <f>IFERROR(VLOOKUP(F22,'FX rates'!$A$7:$B$40,2,FALSE),"")</f>
        <v/>
      </c>
      <c r="L22" s="24">
        <f>IF(OR(G22="",K22="",K22=0),"",G22/K22)</f>
        <v/>
      </c>
      <c r="M22" s="24">
        <f>IF(OR(G22="",J22=""),"",G22*J22)</f>
        <v/>
      </c>
      <c r="N22" s="24" t="n">
        <v>6232.75</v>
      </c>
      <c r="O22" t="inlineStr">
        <is>
          <t>2023-04-05</t>
        </is>
      </c>
    </row>
    <row r="23">
      <c r="A23" t="inlineStr">
        <is>
          <t>INV-2023010-X3</t>
        </is>
      </c>
      <c r="B23" t="inlineStr">
        <is>
          <t>Coffee Bliss Suppliers</t>
        </is>
      </c>
      <c r="C23" t="inlineStr">
        <is>
          <t>SUP-CoffeeBlissSuppliers</t>
        </is>
      </c>
      <c r="D23" t="inlineStr">
        <is>
          <t>PO2023010</t>
        </is>
      </c>
      <c r="E23" t="inlineStr">
        <is>
          <t>yes</t>
        </is>
      </c>
      <c r="F23" t="inlineStr">
        <is>
          <t>USD</t>
        </is>
      </c>
      <c r="G23" s="24" t="n">
        <v>5825</v>
      </c>
      <c r="H23" s="24" t="n">
        <v>6432.75</v>
      </c>
      <c r="I23" s="24" t="n">
        <v>407.75</v>
      </c>
      <c r="J23" s="25" t="n">
        <v>1</v>
      </c>
      <c r="K23" s="25">
        <f>IFERROR(VLOOKUP(F23,'FX rates'!$A$7:$B$40,2,FALSE),"")</f>
        <v/>
      </c>
      <c r="L23" s="24">
        <f>IF(OR(G23="",K23="",K23=0),"",G23/K23)</f>
        <v/>
      </c>
      <c r="M23" s="24">
        <f>IF(OR(G23="",J23=""),"",G23*J23)</f>
        <v/>
      </c>
      <c r="N23" s="24" t="n">
        <v>6432.75</v>
      </c>
      <c r="O23" t="inlineStr">
        <is>
          <t>2023-03-05</t>
        </is>
      </c>
    </row>
    <row r="24">
      <c r="A24" t="inlineStr">
        <is>
          <t>INV-2023010-X4</t>
        </is>
      </c>
      <c r="B24" t="inlineStr">
        <is>
          <t>Coffee Bliss Suppliers</t>
        </is>
      </c>
      <c r="C24" t="inlineStr">
        <is>
          <t>SUP-CoffeeBlissSuppliers</t>
        </is>
      </c>
      <c r="D24" t="inlineStr">
        <is>
          <t>PO2023010</t>
        </is>
      </c>
      <c r="E24" t="inlineStr">
        <is>
          <t>yes</t>
        </is>
      </c>
      <c r="F24" t="inlineStr">
        <is>
          <t>USD</t>
        </is>
      </c>
      <c r="G24" s="24" t="n">
        <v>7825</v>
      </c>
      <c r="H24" s="24" t="n">
        <v>8372.75</v>
      </c>
      <c r="I24" s="24" t="n">
        <v>547.75</v>
      </c>
      <c r="J24" s="25" t="n">
        <v>1</v>
      </c>
      <c r="K24" s="25">
        <f>IFERROR(VLOOKUP(F24,'FX rates'!$A$7:$B$40,2,FALSE),"")</f>
        <v/>
      </c>
      <c r="L24" s="24">
        <f>IF(OR(G24="",K24="",K24=0),"",G24/K24)</f>
        <v/>
      </c>
      <c r="M24" s="24">
        <f>IF(OR(G24="",J24=""),"",G24*J24)</f>
        <v/>
      </c>
      <c r="N24" s="24" t="n">
        <v>8372.75</v>
      </c>
      <c r="O24" t="inlineStr">
        <is>
          <t>2023-03-05</t>
        </is>
      </c>
    </row>
    <row r="25">
      <c r="A25" t="inlineStr">
        <is>
          <t>INV-2023010-X5</t>
        </is>
      </c>
      <c r="B25" t="inlineStr">
        <is>
          <t>Coffee Bliss Suppliers</t>
        </is>
      </c>
      <c r="C25" t="inlineStr">
        <is>
          <t>SUP-CoffeeBlissSuppliers</t>
        </is>
      </c>
      <c r="D25" t="inlineStr">
        <is>
          <t>PO2023010</t>
        </is>
      </c>
      <c r="E25" t="inlineStr">
        <is>
          <t>yes</t>
        </is>
      </c>
      <c r="F25" t="inlineStr">
        <is>
          <t>USD</t>
        </is>
      </c>
      <c r="G25" s="24" t="n">
        <v>6425</v>
      </c>
      <c r="H25" s="24" t="n">
        <v>6874.75</v>
      </c>
      <c r="I25" s="24" t="n">
        <v>449.75</v>
      </c>
      <c r="J25" s="25" t="n">
        <v>1</v>
      </c>
      <c r="K25" s="25">
        <f>IFERROR(VLOOKUP(F25,'FX rates'!$A$7:$B$40,2,FALSE),"")</f>
        <v/>
      </c>
      <c r="L25" s="24">
        <f>IF(OR(G25="",K25="",K25=0),"",G25/K25)</f>
        <v/>
      </c>
      <c r="M25" s="24">
        <f>IF(OR(G25="",J25=""),"",G25*J25)</f>
        <v/>
      </c>
      <c r="N25" s="24" t="n">
        <v>6874.75</v>
      </c>
      <c r="O25" t="inlineStr">
        <is>
          <t>2023-03-05</t>
        </is>
      </c>
    </row>
    <row r="26">
      <c r="A26" t="inlineStr">
        <is>
          <t>INV-2023010-X6A</t>
        </is>
      </c>
      <c r="B26" t="inlineStr">
        <is>
          <t>Coffee Bliss Suppliers</t>
        </is>
      </c>
      <c r="C26" t="inlineStr">
        <is>
          <t>SUP-CoffeeBlissSuppliers</t>
        </is>
      </c>
      <c r="D26" t="inlineStr">
        <is>
          <t>PO2023010</t>
        </is>
      </c>
      <c r="E26" t="inlineStr">
        <is>
          <t>yes</t>
        </is>
      </c>
      <c r="F26" t="inlineStr">
        <is>
          <t>USD</t>
        </is>
      </c>
      <c r="G26" s="24" t="n">
        <v>1125</v>
      </c>
      <c r="H26" s="24" t="n">
        <v>1203.75</v>
      </c>
      <c r="I26" s="24" t="n">
        <v>78.75</v>
      </c>
      <c r="J26" s="25" t="n">
        <v>1</v>
      </c>
      <c r="K26" s="25">
        <f>IFERROR(VLOOKUP(F26,'FX rates'!$A$7:$B$40,2,FALSE),"")</f>
        <v/>
      </c>
      <c r="L26" s="24">
        <f>IF(OR(G26="",K26="",K26=0),"",G26/K26)</f>
        <v/>
      </c>
      <c r="M26" s="24">
        <f>IF(OR(G26="",J26=""),"",G26*J26)</f>
        <v/>
      </c>
      <c r="N26" s="24" t="n">
        <v>1203.75</v>
      </c>
      <c r="O26" t="inlineStr">
        <is>
          <t>2023-03-05</t>
        </is>
      </c>
    </row>
    <row r="27">
      <c r="A27" t="inlineStr">
        <is>
          <t>INV-2023010-X6B</t>
        </is>
      </c>
      <c r="B27" t="inlineStr">
        <is>
          <t>Coffee Bliss Suppliers</t>
        </is>
      </c>
      <c r="C27" t="inlineStr">
        <is>
          <t>SUP-CoffeeBlissSuppliers</t>
        </is>
      </c>
      <c r="D27" t="inlineStr">
        <is>
          <t>PO2023010</t>
        </is>
      </c>
      <c r="E27" t="inlineStr">
        <is>
          <t>yes</t>
        </is>
      </c>
      <c r="F27" t="inlineStr">
        <is>
          <t>USD</t>
        </is>
      </c>
      <c r="G27" s="24" t="n">
        <v>4700</v>
      </c>
      <c r="H27" s="24" t="n">
        <v>5029</v>
      </c>
      <c r="I27" s="24" t="n">
        <v>329</v>
      </c>
      <c r="J27" s="25" t="n">
        <v>1</v>
      </c>
      <c r="K27" s="25">
        <f>IFERROR(VLOOKUP(F27,'FX rates'!$A$7:$B$40,2,FALSE),"")</f>
        <v/>
      </c>
      <c r="L27" s="24">
        <f>IF(OR(G27="",K27="",K27=0),"",G27/K27)</f>
        <v/>
      </c>
      <c r="M27" s="24">
        <f>IF(OR(G27="",J27=""),"",G27*J27)</f>
        <v/>
      </c>
      <c r="N27" s="24" t="n">
        <v>5029</v>
      </c>
      <c r="O27" t="inlineStr">
        <is>
          <t>2023-03-05</t>
        </is>
      </c>
    </row>
    <row r="28">
      <c r="A28" t="inlineStr">
        <is>
          <t>INV-2026-01602</t>
        </is>
      </c>
      <c r="B28" t="inlineStr">
        <is>
          <t>PeopleFirst HR Solutions Ltd</t>
        </is>
      </c>
      <c r="C28" t="inlineStr">
        <is>
          <t>SUP-PeoplefirstHrSolutionsLtd</t>
        </is>
      </c>
      <c r="D28" t="inlineStr">
        <is>
          <t>PO5206556</t>
        </is>
      </c>
      <c r="E28" t="inlineStr">
        <is>
          <t>yes</t>
        </is>
      </c>
      <c r="F28" t="inlineStr">
        <is>
          <t>GBP</t>
        </is>
      </c>
      <c r="G28" s="24" t="n">
        <v>100000</v>
      </c>
      <c r="H28" s="24" t="n">
        <v>120000</v>
      </c>
      <c r="I28" s="24" t="n">
        <v>20000</v>
      </c>
      <c r="J28" s="25" t="n">
        <v>1.27</v>
      </c>
      <c r="K28" s="25">
        <f>IFERROR(VLOOKUP(F28,'FX rates'!$A$7:$B$40,2,FALSE),"")</f>
        <v/>
      </c>
      <c r="L28" s="24">
        <f>IF(OR(G28="",K28="",K28=0),"",G28/K28)</f>
        <v/>
      </c>
      <c r="M28" s="24">
        <f>IF(OR(G28="",J28=""),"",G28*J28)</f>
        <v/>
      </c>
      <c r="N28" s="24" t="n">
        <v>152400</v>
      </c>
      <c r="O28" t="inlineStr">
        <is>
          <t>2025-10-10</t>
        </is>
      </c>
    </row>
    <row r="29">
      <c r="A29" t="inlineStr">
        <is>
          <t>INV25-021-75</t>
        </is>
      </c>
      <c r="B29" t="inlineStr">
        <is>
          <t>InfoTech</t>
        </is>
      </c>
      <c r="C29" t="inlineStr">
        <is>
          <t>SUP-Infotech</t>
        </is>
      </c>
      <c r="D29" t="inlineStr">
        <is>
          <t>—</t>
        </is>
      </c>
      <c r="E29" t="inlineStr">
        <is>
          <t>no</t>
        </is>
      </c>
      <c r="F29" t="inlineStr">
        <is>
          <t>GBP</t>
        </is>
      </c>
      <c r="G29" s="24" t="n">
        <v>1200</v>
      </c>
      <c r="H29" s="24" t="n">
        <v>1440</v>
      </c>
      <c r="I29" s="24" t="n">
        <v>240</v>
      </c>
      <c r="J29" s="25" t="n">
        <v>1.27</v>
      </c>
      <c r="K29" s="25">
        <f>IFERROR(VLOOKUP(F29,'FX rates'!$A$7:$B$40,2,FALSE),"")</f>
        <v/>
      </c>
      <c r="L29" s="24">
        <f>IF(OR(G29="",K29="",K29=0),"",G29/K29)</f>
        <v/>
      </c>
      <c r="M29" s="24">
        <f>IF(OR(G29="",J29=""),"",G29*J29)</f>
        <v/>
      </c>
      <c r="N29" s="24" t="n">
        <v>1828.8</v>
      </c>
      <c r="O29" t="inlineStr">
        <is>
          <t>2019-01-20</t>
        </is>
      </c>
    </row>
    <row r="30">
      <c r="A30" t="inlineStr">
        <is>
          <t>INV25-021-76</t>
        </is>
      </c>
      <c r="B30" t="inlineStr">
        <is>
          <t>InfoTech</t>
        </is>
      </c>
      <c r="C30" t="inlineStr">
        <is>
          <t>SUP-Infotech</t>
        </is>
      </c>
      <c r="D30" t="inlineStr">
        <is>
          <t>—</t>
        </is>
      </c>
      <c r="E30" t="inlineStr">
        <is>
          <t>no</t>
        </is>
      </c>
      <c r="F30" t="inlineStr">
        <is>
          <t>GBP</t>
        </is>
      </c>
      <c r="G30" s="24" t="n">
        <v>1200</v>
      </c>
      <c r="H30" s="24" t="n">
        <v>1440</v>
      </c>
      <c r="I30" s="24" t="n">
        <v>240</v>
      </c>
      <c r="J30" s="25" t="n">
        <v>1.27</v>
      </c>
      <c r="K30" s="25">
        <f>IFERROR(VLOOKUP(F30,'FX rates'!$A$7:$B$40,2,FALSE),"")</f>
        <v/>
      </c>
      <c r="L30" s="24">
        <f>IF(OR(G30="",K30="",K30=0),"",G30/K30)</f>
        <v/>
      </c>
      <c r="M30" s="24">
        <f>IF(OR(G30="",J30=""),"",G30*J30)</f>
        <v/>
      </c>
      <c r="N30" s="24" t="n">
        <v>1828.8</v>
      </c>
      <c r="O30" t="inlineStr">
        <is>
          <t>2019-02-20</t>
        </is>
      </c>
    </row>
    <row r="31">
      <c r="A31" t="inlineStr">
        <is>
          <t>INV-25-050</t>
        </is>
      </c>
      <c r="B31" t="inlineStr">
        <is>
          <t>AUARIUS MARKETING</t>
        </is>
      </c>
      <c r="C31" t="inlineStr">
        <is>
          <t>SUP-AuariusMarketing</t>
        </is>
      </c>
      <c r="D31" t="inlineStr">
        <is>
          <t>—</t>
        </is>
      </c>
      <c r="E31" t="inlineStr">
        <is>
          <t>no</t>
        </is>
      </c>
      <c r="F31" t="inlineStr">
        <is>
          <t>GBP</t>
        </is>
      </c>
      <c r="G31" s="24" t="n">
        <v>5000</v>
      </c>
      <c r="H31" s="24" t="n">
        <v>6000</v>
      </c>
      <c r="I31" s="24" t="n">
        <v>1000</v>
      </c>
      <c r="J31" s="25" t="n">
        <v>1.27</v>
      </c>
      <c r="K31" s="25">
        <f>IFERROR(VLOOKUP(F31,'FX rates'!$A$7:$B$40,2,FALSE),"")</f>
        <v/>
      </c>
      <c r="L31" s="24">
        <f>IF(OR(G31="",K31="",K31=0),"",G31/K31)</f>
        <v/>
      </c>
      <c r="M31" s="24">
        <f>IF(OR(G31="",J31=""),"",G31*J31)</f>
        <v/>
      </c>
      <c r="N31" s="24" t="n">
        <v>7620</v>
      </c>
      <c r="O31" t="inlineStr">
        <is>
          <t>2025-07-22</t>
        </is>
      </c>
    </row>
    <row r="32">
      <c r="A32" t="inlineStr">
        <is>
          <t>INV-25-051</t>
        </is>
      </c>
      <c r="B32" t="inlineStr">
        <is>
          <t>AUARIUS MARKETING</t>
        </is>
      </c>
      <c r="C32" t="inlineStr">
        <is>
          <t>SUP-AuariusMarketing</t>
        </is>
      </c>
      <c r="D32" t="inlineStr">
        <is>
          <t>—</t>
        </is>
      </c>
      <c r="E32" t="inlineStr">
        <is>
          <t>no</t>
        </is>
      </c>
      <c r="F32" t="inlineStr">
        <is>
          <t>GBP</t>
        </is>
      </c>
      <c r="G32" s="24" t="n">
        <v>5000</v>
      </c>
      <c r="H32" s="24" t="n">
        <v>6000</v>
      </c>
      <c r="I32" s="24" t="n">
        <v>1000</v>
      </c>
      <c r="J32" s="25" t="n">
        <v>1.27</v>
      </c>
      <c r="K32" s="25">
        <f>IFERROR(VLOOKUP(F32,'FX rates'!$A$7:$B$40,2,FALSE),"")</f>
        <v/>
      </c>
      <c r="L32" s="24">
        <f>IF(OR(G32="",K32="",K32=0),"",G32/K32)</f>
        <v/>
      </c>
      <c r="M32" s="24">
        <f>IF(OR(G32="",J32=""),"",G32*J32)</f>
        <v/>
      </c>
      <c r="N32" s="24" t="n">
        <v>7620</v>
      </c>
      <c r="O32" t="inlineStr">
        <is>
          <t>2025-08-22</t>
        </is>
      </c>
    </row>
    <row r="33">
      <c r="A33" t="inlineStr">
        <is>
          <t>INV-25-052</t>
        </is>
      </c>
      <c r="B33" t="inlineStr">
        <is>
          <t>AUARIUS MARKETING</t>
        </is>
      </c>
      <c r="C33" t="inlineStr">
        <is>
          <t>SUP-AuariusMarketing</t>
        </is>
      </c>
      <c r="D33" t="inlineStr">
        <is>
          <t>—</t>
        </is>
      </c>
      <c r="E33" t="inlineStr">
        <is>
          <t>no</t>
        </is>
      </c>
      <c r="F33" t="inlineStr">
        <is>
          <t>GBP</t>
        </is>
      </c>
      <c r="G33" s="24" t="n">
        <v>5000</v>
      </c>
      <c r="H33" s="24" t="n">
        <v>6000</v>
      </c>
      <c r="I33" s="24" t="n">
        <v>1000</v>
      </c>
      <c r="J33" s="25" t="n">
        <v>1.27</v>
      </c>
      <c r="K33" s="25">
        <f>IFERROR(VLOOKUP(F33,'FX rates'!$A$7:$B$40,2,FALSE),"")</f>
        <v/>
      </c>
      <c r="L33" s="24">
        <f>IF(OR(G33="",K33="",K33=0),"",G33/K33)</f>
        <v/>
      </c>
      <c r="M33" s="24">
        <f>IF(OR(G33="",J33=""),"",G33*J33)</f>
        <v/>
      </c>
      <c r="N33" s="24" t="n">
        <v>7620</v>
      </c>
      <c r="O33" t="inlineStr">
        <is>
          <t>2025-09-22</t>
        </is>
      </c>
    </row>
    <row r="34">
      <c r="A34" t="inlineStr">
        <is>
          <t>INV600253</t>
        </is>
      </c>
      <c r="B34" t="inlineStr">
        <is>
          <t>City of Newport</t>
        </is>
      </c>
      <c r="C34" t="inlineStr">
        <is>
          <t>SUP-CityOfNewport</t>
        </is>
      </c>
      <c r="D34" t="inlineStr">
        <is>
          <t>502004</t>
        </is>
      </c>
      <c r="E34" t="inlineStr">
        <is>
          <t>yes</t>
        </is>
      </c>
      <c r="F34" t="inlineStr">
        <is>
          <t>GBP</t>
        </is>
      </c>
      <c r="G34" s="24" t="n">
        <v>8333</v>
      </c>
      <c r="H34" s="24" t="n">
        <v>9999.6</v>
      </c>
      <c r="I34" s="24" t="n">
        <v>1666.6</v>
      </c>
      <c r="J34" s="25" t="n">
        <v>1.27</v>
      </c>
      <c r="K34" s="25">
        <f>IFERROR(VLOOKUP(F34,'FX rates'!$A$7:$B$40,2,FALSE),"")</f>
        <v/>
      </c>
      <c r="L34" s="24">
        <f>IF(OR(G34="",K34="",K34=0),"",G34/K34)</f>
        <v/>
      </c>
      <c r="M34" s="24">
        <f>IF(OR(G34="",J34=""),"",G34*J34)</f>
        <v/>
      </c>
      <c r="N34" s="24" t="n">
        <v>12699.49</v>
      </c>
      <c r="O34" t="inlineStr">
        <is>
          <t>2019-07-22</t>
        </is>
      </c>
    </row>
    <row r="35">
      <c r="A35" t="inlineStr">
        <is>
          <t>INV600254</t>
        </is>
      </c>
      <c r="B35" t="inlineStr">
        <is>
          <t>City of Newport</t>
        </is>
      </c>
      <c r="C35" t="inlineStr">
        <is>
          <t>SUP-CityOfNewport</t>
        </is>
      </c>
      <c r="D35" t="inlineStr">
        <is>
          <t>502004</t>
        </is>
      </c>
      <c r="E35" t="inlineStr">
        <is>
          <t>yes</t>
        </is>
      </c>
      <c r="F35" t="inlineStr">
        <is>
          <t>GBP</t>
        </is>
      </c>
      <c r="G35" s="24" t="n">
        <v>8333</v>
      </c>
      <c r="H35" s="24" t="n">
        <v>9999.6</v>
      </c>
      <c r="I35" s="24" t="n">
        <v>1666.6</v>
      </c>
      <c r="J35" s="25" t="n">
        <v>1.27</v>
      </c>
      <c r="K35" s="25">
        <f>IFERROR(VLOOKUP(F35,'FX rates'!$A$7:$B$40,2,FALSE),"")</f>
        <v/>
      </c>
      <c r="L35" s="24">
        <f>IF(OR(G35="",K35="",K35=0),"",G35/K35)</f>
        <v/>
      </c>
      <c r="M35" s="24">
        <f>IF(OR(G35="",J35=""),"",G35*J35)</f>
        <v/>
      </c>
      <c r="N35" s="24" t="n">
        <v>12699.49</v>
      </c>
      <c r="O35" t="inlineStr">
        <is>
          <t>2019-08-22</t>
        </is>
      </c>
    </row>
    <row r="36">
      <c r="A36" t="inlineStr">
        <is>
          <t>INV600255</t>
        </is>
      </c>
      <c r="B36" t="inlineStr">
        <is>
          <t>City of Newport</t>
        </is>
      </c>
      <c r="C36" t="inlineStr">
        <is>
          <t>SUP-CityOfNewport</t>
        </is>
      </c>
      <c r="D36" t="inlineStr">
        <is>
          <t>502004</t>
        </is>
      </c>
      <c r="E36" t="inlineStr">
        <is>
          <t>yes</t>
        </is>
      </c>
      <c r="F36" t="inlineStr">
        <is>
          <t>GBP</t>
        </is>
      </c>
      <c r="G36" s="24" t="n">
        <v>8333</v>
      </c>
      <c r="H36" s="24" t="n">
        <v>9999.6</v>
      </c>
      <c r="I36" s="24" t="n">
        <v>1666.6</v>
      </c>
      <c r="J36" s="25" t="n">
        <v>1.27</v>
      </c>
      <c r="K36" s="25">
        <f>IFERROR(VLOOKUP(F36,'FX rates'!$A$7:$B$40,2,FALSE),"")</f>
        <v/>
      </c>
      <c r="L36" s="24">
        <f>IF(OR(G36="",K36="",K36=0),"",G36/K36)</f>
        <v/>
      </c>
      <c r="M36" s="24">
        <f>IF(OR(G36="",J36=""),"",G36*J36)</f>
        <v/>
      </c>
      <c r="N36" s="24" t="n">
        <v>12699.49</v>
      </c>
      <c r="O36" t="inlineStr">
        <is>
          <t>2019-09-22</t>
        </is>
      </c>
    </row>
    <row r="37">
      <c r="A37" t="inlineStr">
        <is>
          <t>INV600784</t>
        </is>
      </c>
      <c r="B37" t="inlineStr">
        <is>
          <t>Dixon, Reynolds and Solomon</t>
        </is>
      </c>
      <c r="C37" t="inlineStr">
        <is>
          <t>SUP-DixonReynoldsAndSolomon</t>
        </is>
      </c>
      <c r="D37" t="inlineStr">
        <is>
          <t>507099</t>
        </is>
      </c>
      <c r="E37" t="inlineStr">
        <is>
          <t>yes</t>
        </is>
      </c>
      <c r="F37" t="inlineStr">
        <is>
          <t>GBP</t>
        </is>
      </c>
      <c r="G37" s="24" t="n">
        <v>1318.4</v>
      </c>
      <c r="H37" s="24" t="n">
        <v>1582.08</v>
      </c>
      <c r="I37" s="24" t="n">
        <v>263.68</v>
      </c>
      <c r="J37" s="25" t="n">
        <v>1.27</v>
      </c>
      <c r="K37" s="25">
        <f>IFERROR(VLOOKUP(F37,'FX rates'!$A$7:$B$40,2,FALSE),"")</f>
        <v/>
      </c>
      <c r="L37" s="24">
        <f>IF(OR(G37="",K37="",K37=0),"",G37/K37)</f>
        <v/>
      </c>
      <c r="M37" s="24">
        <f>IF(OR(G37="",J37=""),"",G37*J37)</f>
        <v/>
      </c>
      <c r="N37" s="24" t="n">
        <v>2009.24</v>
      </c>
      <c r="O37" t="inlineStr">
        <is>
          <t>2024-11-01</t>
        </is>
      </c>
    </row>
    <row r="38">
      <c r="A38" t="inlineStr">
        <is>
          <t>INV609767</t>
        </is>
      </c>
      <c r="B38" t="inlineStr">
        <is>
          <t>Dixon, Reynolds and Solomon</t>
        </is>
      </c>
      <c r="C38" t="inlineStr">
        <is>
          <t>SUP-DixonReynoldsAndSolomon</t>
        </is>
      </c>
      <c r="D38" t="inlineStr">
        <is>
          <t>521031</t>
        </is>
      </c>
      <c r="E38" t="inlineStr">
        <is>
          <t>yes</t>
        </is>
      </c>
      <c r="F38" t="inlineStr">
        <is>
          <t>GBP</t>
        </is>
      </c>
      <c r="G38" s="24" t="n">
        <v>638.6</v>
      </c>
      <c r="H38" s="24" t="n">
        <v>766.3200000000001</v>
      </c>
      <c r="I38" s="24" t="n">
        <v>127.72</v>
      </c>
      <c r="J38" s="25" t="n">
        <v>1.27</v>
      </c>
      <c r="K38" s="25">
        <f>IFERROR(VLOOKUP(F38,'FX rates'!$A$7:$B$40,2,FALSE),"")</f>
        <v/>
      </c>
      <c r="L38" s="24">
        <f>IF(OR(G38="",K38="",K38=0),"",G38/K38)</f>
        <v/>
      </c>
      <c r="M38" s="24">
        <f>IF(OR(G38="",J38=""),"",G38*J38)</f>
        <v/>
      </c>
      <c r="N38" s="24" t="n">
        <v>973.23</v>
      </c>
      <c r="O38" t="inlineStr">
        <is>
          <t>2024-01-01</t>
        </is>
      </c>
    </row>
    <row r="39">
      <c r="A39" t="inlineStr">
        <is>
          <t>INV615597</t>
        </is>
      </c>
      <c r="B39" t="inlineStr">
        <is>
          <t>GOMEZ, GOOD AND CROSS</t>
        </is>
      </c>
      <c r="C39" t="inlineStr">
        <is>
          <t>SUP-GomezGoodAndCross</t>
        </is>
      </c>
      <c r="D39" t="inlineStr">
        <is>
          <t>507269</t>
        </is>
      </c>
      <c r="E39" t="inlineStr">
        <is>
          <t>yes</t>
        </is>
      </c>
      <c r="F39" t="inlineStr">
        <is>
          <t>GBP</t>
        </is>
      </c>
      <c r="G39" s="24" t="n">
        <v>647.17</v>
      </c>
      <c r="H39" s="24" t="n">
        <v>776.6</v>
      </c>
      <c r="I39" s="24" t="n">
        <v>129.43</v>
      </c>
      <c r="J39" s="25" t="n">
        <v>1.27</v>
      </c>
      <c r="K39" s="25">
        <f>IFERROR(VLOOKUP(F39,'FX rates'!$A$7:$B$40,2,FALSE),"")</f>
        <v/>
      </c>
      <c r="L39" s="24">
        <f>IF(OR(G39="",K39="",K39=0),"",G39/K39)</f>
        <v/>
      </c>
      <c r="M39" s="24">
        <f>IF(OR(G39="",J39=""),"",G39*J39)</f>
        <v/>
      </c>
      <c r="N39" s="24" t="n">
        <v>986.28</v>
      </c>
      <c r="O39" t="inlineStr">
        <is>
          <t>2024-02-15</t>
        </is>
      </c>
    </row>
    <row r="40">
      <c r="A40" t="inlineStr">
        <is>
          <t>INV618706</t>
        </is>
      </c>
      <c r="B40" t="inlineStr">
        <is>
          <t>GOMEZ, GOOD AND CROSS</t>
        </is>
      </c>
      <c r="C40" t="inlineStr">
        <is>
          <t>SUP-GomezGoodAndCross</t>
        </is>
      </c>
      <c r="D40" t="inlineStr">
        <is>
          <t>519829</t>
        </is>
      </c>
      <c r="E40" t="inlineStr">
        <is>
          <t>yes</t>
        </is>
      </c>
      <c r="F40" t="inlineStr">
        <is>
          <t>GBP</t>
        </is>
      </c>
      <c r="G40" s="24" t="n">
        <v>1169.58</v>
      </c>
      <c r="H40" s="24" t="n">
        <v>1403.5</v>
      </c>
      <c r="I40" s="24" t="n">
        <v>233.92</v>
      </c>
      <c r="J40" s="25" t="n">
        <v>1.27</v>
      </c>
      <c r="K40" s="25">
        <f>IFERROR(VLOOKUP(F40,'FX rates'!$A$7:$B$40,2,FALSE),"")</f>
        <v/>
      </c>
      <c r="L40" s="24">
        <f>IF(OR(G40="",K40="",K40=0),"",G40/K40)</f>
        <v/>
      </c>
      <c r="M40" s="24">
        <f>IF(OR(G40="",J40=""),"",G40*J40)</f>
        <v/>
      </c>
      <c r="N40" s="24" t="n">
        <v>1782.44</v>
      </c>
      <c r="O40" t="inlineStr">
        <is>
          <t>2023-09-20</t>
        </is>
      </c>
    </row>
    <row r="41">
      <c r="A41" t="inlineStr">
        <is>
          <t>INV619312</t>
        </is>
      </c>
      <c r="B41" t="inlineStr">
        <is>
          <t>GOMEZ, GOOD AND CROSS</t>
        </is>
      </c>
      <c r="C41" t="inlineStr">
        <is>
          <t>SUP-GomezGoodAndCross</t>
        </is>
      </c>
      <c r="D41" t="inlineStr">
        <is>
          <t>519999</t>
        </is>
      </c>
      <c r="E41" t="inlineStr">
        <is>
          <t>yes</t>
        </is>
      </c>
      <c r="F41" t="inlineStr">
        <is>
          <t>GBP</t>
        </is>
      </c>
      <c r="G41" s="24" t="n">
        <v>1150.46</v>
      </c>
      <c r="H41" s="24" t="n">
        <v>1380.55</v>
      </c>
      <c r="I41" s="24" t="n">
        <v>230.09</v>
      </c>
      <c r="J41" s="25" t="n">
        <v>1.27</v>
      </c>
      <c r="K41" s="25">
        <f>IFERROR(VLOOKUP(F41,'FX rates'!$A$7:$B$40,2,FALSE),"")</f>
        <v/>
      </c>
      <c r="L41" s="24">
        <f>IF(OR(G41="",K41="",K41=0),"",G41/K41)</f>
        <v/>
      </c>
      <c r="M41" s="24">
        <f>IF(OR(G41="",J41=""),"",G41*J41)</f>
        <v/>
      </c>
      <c r="N41" s="24" t="n">
        <v>1753.3</v>
      </c>
      <c r="O41" t="inlineStr">
        <is>
          <t>2025-01-04</t>
        </is>
      </c>
    </row>
    <row r="42">
      <c r="A42" t="inlineStr">
        <is>
          <t>INV-792631</t>
        </is>
      </c>
      <c r="B42" t="inlineStr">
        <is>
          <t>The Car Company Ltd</t>
        </is>
      </c>
      <c r="C42" t="inlineStr">
        <is>
          <t>SUP-TheCarCompanyLtd</t>
        </is>
      </c>
      <c r="D42" t="inlineStr">
        <is>
          <t>200154/2022</t>
        </is>
      </c>
      <c r="E42" t="inlineStr">
        <is>
          <t>yes</t>
        </is>
      </c>
      <c r="F42" t="inlineStr">
        <is>
          <t>USD</t>
        </is>
      </c>
      <c r="G42" s="24" t="n">
        <v>27680</v>
      </c>
      <c r="H42" s="24" t="n">
        <v>30403</v>
      </c>
      <c r="I42" s="24" t="n">
        <v>2723</v>
      </c>
      <c r="J42" s="25" t="n">
        <v>1</v>
      </c>
      <c r="K42" s="25">
        <f>IFERROR(VLOOKUP(F42,'FX rates'!$A$7:$B$40,2,FALSE),"")</f>
        <v/>
      </c>
      <c r="L42" s="24">
        <f>IF(OR(G42="",K42="",K42=0),"",G42/K42)</f>
        <v/>
      </c>
      <c r="M42" s="24">
        <f>IF(OR(G42="",J42=""),"",G42*J42)</f>
        <v/>
      </c>
      <c r="N42" s="24" t="n">
        <v>30403</v>
      </c>
      <c r="O42" t="inlineStr">
        <is>
          <t>2022-03-03</t>
        </is>
      </c>
    </row>
    <row r="43">
      <c r="A43" t="inlineStr">
        <is>
          <t>INV-981204</t>
        </is>
      </c>
      <c r="B43" t="inlineStr">
        <is>
          <t>Veruca Organic Nuts</t>
        </is>
      </c>
      <c r="C43" t="inlineStr">
        <is>
          <t>SUP-VerucaOrganicNuts</t>
        </is>
      </c>
      <c r="D43" t="inlineStr">
        <is>
          <t>GB-001</t>
        </is>
      </c>
      <c r="E43" t="inlineStr">
        <is>
          <t>yes</t>
        </is>
      </c>
      <c r="F43" t="inlineStr">
        <is>
          <t>GBP</t>
        </is>
      </c>
      <c r="G43" s="24" t="n">
        <v>150</v>
      </c>
      <c r="H43" s="24" t="n">
        <v>180</v>
      </c>
      <c r="I43" s="24" t="n">
        <v>30</v>
      </c>
      <c r="J43" s="25" t="n">
        <v>1.27</v>
      </c>
      <c r="K43" s="25">
        <f>IFERROR(VLOOKUP(F43,'FX rates'!$A$7:$B$40,2,FALSE),"")</f>
        <v/>
      </c>
      <c r="L43" s="24">
        <f>IF(OR(G43="",K43="",K43=0),"",G43/K43)</f>
        <v/>
      </c>
      <c r="M43" s="24">
        <f>IF(OR(G43="",J43=""),"",G43*J43)</f>
        <v/>
      </c>
      <c r="N43" s="24" t="n">
        <v>228.6</v>
      </c>
      <c r="O43" t="inlineStr">
        <is>
          <t>2019-01-29</t>
        </is>
      </c>
    </row>
    <row r="44">
      <c r="A44" t="inlineStr">
        <is>
          <t>INV-981204-B</t>
        </is>
      </c>
      <c r="B44" t="inlineStr">
        <is>
          <t>Veruca Organic Nuts</t>
        </is>
      </c>
      <c r="C44" t="inlineStr">
        <is>
          <t>SUP-VerucaOrganicNuts</t>
        </is>
      </c>
      <c r="D44" t="inlineStr">
        <is>
          <t>GB-001</t>
        </is>
      </c>
      <c r="E44" t="inlineStr">
        <is>
          <t>yes</t>
        </is>
      </c>
      <c r="F44" t="inlineStr">
        <is>
          <t>GBP</t>
        </is>
      </c>
      <c r="G44" s="24" t="n">
        <v>150</v>
      </c>
      <c r="H44" s="24" t="n">
        <v>180</v>
      </c>
      <c r="I44" s="24" t="n">
        <v>30</v>
      </c>
      <c r="J44" s="25" t="n">
        <v>1.27</v>
      </c>
      <c r="K44" s="25">
        <f>IFERROR(VLOOKUP(F44,'FX rates'!$A$7:$B$40,2,FALSE),"")</f>
        <v/>
      </c>
      <c r="L44" s="24">
        <f>IF(OR(G44="",K44="",K44=0),"",G44/K44)</f>
        <v/>
      </c>
      <c r="M44" s="24">
        <f>IF(OR(G44="",J44=""),"",G44*J44)</f>
        <v/>
      </c>
      <c r="N44" s="24" t="n">
        <v>228.6</v>
      </c>
      <c r="O44" t="inlineStr">
        <is>
          <t>2019-02-10</t>
        </is>
      </c>
    </row>
    <row r="45">
      <c r="A45" t="inlineStr">
        <is>
          <t>INV-981204-C</t>
        </is>
      </c>
      <c r="B45" t="inlineStr">
        <is>
          <t>Veruca Organic Nuts</t>
        </is>
      </c>
      <c r="C45" t="inlineStr">
        <is>
          <t>SUP-VerucaOrganicNuts</t>
        </is>
      </c>
      <c r="D45" t="inlineStr">
        <is>
          <t>GB-001</t>
        </is>
      </c>
      <c r="E45" t="inlineStr">
        <is>
          <t>yes</t>
        </is>
      </c>
      <c r="F45" t="inlineStr">
        <is>
          <t>GBP</t>
        </is>
      </c>
      <c r="G45" s="24" t="n">
        <v>150</v>
      </c>
      <c r="H45" s="24" t="n">
        <v>180</v>
      </c>
      <c r="I45" s="24" t="n">
        <v>30</v>
      </c>
      <c r="J45" s="25" t="n">
        <v>1.27</v>
      </c>
      <c r="K45" s="25">
        <f>IFERROR(VLOOKUP(F45,'FX rates'!$A$7:$B$40,2,FALSE),"")</f>
        <v/>
      </c>
      <c r="L45" s="24">
        <f>IF(OR(G45="",K45="",K45=0),"",G45/K45)</f>
        <v/>
      </c>
      <c r="M45" s="24">
        <f>IF(OR(G45="",J45=""),"",G45*J45)</f>
        <v/>
      </c>
      <c r="N45" s="24" t="n">
        <v>228.6</v>
      </c>
      <c r="O45" t="inlineStr">
        <is>
          <t>2019-01-29</t>
        </is>
      </c>
    </row>
    <row r="46">
      <c r="A46" t="inlineStr">
        <is>
          <t>INV-981204-D</t>
        </is>
      </c>
      <c r="B46" t="inlineStr">
        <is>
          <t>Veruca Organic Nuts</t>
        </is>
      </c>
      <c r="C46" t="inlineStr">
        <is>
          <t>SUP-VerucaOrganicNuts</t>
        </is>
      </c>
      <c r="D46" t="inlineStr">
        <is>
          <t>GB-001</t>
        </is>
      </c>
      <c r="E46" t="inlineStr">
        <is>
          <t>yes</t>
        </is>
      </c>
      <c r="F46" t="inlineStr">
        <is>
          <t>GBP</t>
        </is>
      </c>
      <c r="G46" s="24" t="n">
        <v>265</v>
      </c>
      <c r="H46" s="24" t="n">
        <v>318</v>
      </c>
      <c r="I46" s="24" t="n">
        <v>53</v>
      </c>
      <c r="J46" s="25" t="n">
        <v>1.27</v>
      </c>
      <c r="K46" s="25">
        <f>IFERROR(VLOOKUP(F46,'FX rates'!$A$7:$B$40,2,FALSE),"")</f>
        <v/>
      </c>
      <c r="L46" s="24">
        <f>IF(OR(G46="",K46="",K46=0),"",G46/K46)</f>
        <v/>
      </c>
      <c r="M46" s="24">
        <f>IF(OR(G46="",J46=""),"",G46*J46)</f>
        <v/>
      </c>
      <c r="N46" s="24" t="n">
        <v>403.86</v>
      </c>
      <c r="O46" t="inlineStr">
        <is>
          <t>2019-01-29</t>
        </is>
      </c>
    </row>
    <row r="47">
      <c r="A47" t="inlineStr">
        <is>
          <t>INV-981204-E</t>
        </is>
      </c>
      <c r="B47" t="inlineStr">
        <is>
          <t>Veruca Organic Nuts</t>
        </is>
      </c>
      <c r="C47" t="inlineStr">
        <is>
          <t>SUP-VerucaOrganicNuts</t>
        </is>
      </c>
      <c r="D47" t="inlineStr">
        <is>
          <t>GB-001</t>
        </is>
      </c>
      <c r="E47" t="inlineStr">
        <is>
          <t>yes</t>
        </is>
      </c>
      <c r="F47" t="inlineStr">
        <is>
          <t>GBP</t>
        </is>
      </c>
      <c r="G47" s="24" t="n">
        <v>255</v>
      </c>
      <c r="H47" s="24" t="n">
        <v>306</v>
      </c>
      <c r="I47" s="24" t="n">
        <v>51</v>
      </c>
      <c r="J47" s="25" t="n">
        <v>1.27</v>
      </c>
      <c r="K47" s="25">
        <f>IFERROR(VLOOKUP(F47,'FX rates'!$A$7:$B$40,2,FALSE),"")</f>
        <v/>
      </c>
      <c r="L47" s="24">
        <f>IF(OR(G47="",K47="",K47=0),"",G47/K47)</f>
        <v/>
      </c>
      <c r="M47" s="24">
        <f>IF(OR(G47="",J47=""),"",G47*J47)</f>
        <v/>
      </c>
      <c r="N47" s="24" t="n">
        <v>388.62</v>
      </c>
      <c r="O47" t="inlineStr">
        <is>
          <t>2019-01-29</t>
        </is>
      </c>
    </row>
    <row r="48">
      <c r="A48" t="inlineStr">
        <is>
          <t>INV-981204-F1</t>
        </is>
      </c>
      <c r="B48" t="inlineStr">
        <is>
          <t>Veruca Organic Nuts</t>
        </is>
      </c>
      <c r="C48" t="inlineStr">
        <is>
          <t>SUP-VerucaOrganicNuts</t>
        </is>
      </c>
      <c r="D48" t="inlineStr">
        <is>
          <t>GB-001</t>
        </is>
      </c>
      <c r="E48" t="inlineStr">
        <is>
          <t>yes</t>
        </is>
      </c>
      <c r="F48" t="inlineStr">
        <is>
          <t>GBP</t>
        </is>
      </c>
      <c r="G48" s="24" t="n">
        <v>105</v>
      </c>
      <c r="H48" s="24" t="n">
        <v>126</v>
      </c>
      <c r="I48" s="24" t="n">
        <v>21</v>
      </c>
      <c r="J48" s="25" t="n">
        <v>1.27</v>
      </c>
      <c r="K48" s="25">
        <f>IFERROR(VLOOKUP(F48,'FX rates'!$A$7:$B$40,2,FALSE),"")</f>
        <v/>
      </c>
      <c r="L48" s="24">
        <f>IF(OR(G48="",K48="",K48=0),"",G48/K48)</f>
        <v/>
      </c>
      <c r="M48" s="24">
        <f>IF(OR(G48="",J48=""),"",G48*J48)</f>
        <v/>
      </c>
      <c r="N48" s="24" t="n">
        <v>160.02</v>
      </c>
      <c r="O48" t="inlineStr">
        <is>
          <t>2019-01-29</t>
        </is>
      </c>
    </row>
    <row r="49">
      <c r="A49" t="inlineStr">
        <is>
          <t>INV-981204-F2</t>
        </is>
      </c>
      <c r="B49" t="inlineStr">
        <is>
          <t>Veruca Organic Nuts</t>
        </is>
      </c>
      <c r="C49" t="inlineStr">
        <is>
          <t>SUP-VerucaOrganicNuts</t>
        </is>
      </c>
      <c r="D49" t="inlineStr">
        <is>
          <t>GB-001</t>
        </is>
      </c>
      <c r="E49" t="inlineStr">
        <is>
          <t>yes</t>
        </is>
      </c>
      <c r="F49" t="inlineStr">
        <is>
          <t>GBP</t>
        </is>
      </c>
      <c r="G49" s="24" t="n">
        <v>45</v>
      </c>
      <c r="H49" s="24" t="n">
        <v>54</v>
      </c>
      <c r="I49" s="24" t="n">
        <v>9</v>
      </c>
      <c r="J49" s="25" t="n">
        <v>1.27</v>
      </c>
      <c r="K49" s="25">
        <f>IFERROR(VLOOKUP(F49,'FX rates'!$A$7:$B$40,2,FALSE),"")</f>
        <v/>
      </c>
      <c r="L49" s="24">
        <f>IF(OR(G49="",K49="",K49=0),"",G49/K49)</f>
        <v/>
      </c>
      <c r="M49" s="24">
        <f>IF(OR(G49="",J49=""),"",G49*J49)</f>
        <v/>
      </c>
      <c r="N49" s="24" t="n">
        <v>68.58</v>
      </c>
      <c r="O49" t="inlineStr">
        <is>
          <t>2019-01-29</t>
        </is>
      </c>
    </row>
    <row r="50">
      <c r="A50" t="inlineStr">
        <is>
          <t>INV-B-23476</t>
        </is>
      </c>
      <c r="B50" t="inlineStr">
        <is>
          <t>INTERIOR DESIGN, Inc.</t>
        </is>
      </c>
      <c r="C50" t="inlineStr">
        <is>
          <t>SUP-InteriorDesignInc</t>
        </is>
      </c>
      <c r="D50" t="inlineStr">
        <is>
          <t>B-23476</t>
        </is>
      </c>
      <c r="E50" t="inlineStr">
        <is>
          <t>yes</t>
        </is>
      </c>
      <c r="F50" t="inlineStr">
        <is>
          <t>USD</t>
        </is>
      </c>
      <c r="G50" s="24" t="n">
        <v>3950</v>
      </c>
      <c r="H50" s="24" t="n">
        <v>3950</v>
      </c>
      <c r="I50" s="24" t="n"/>
      <c r="J50" s="25" t="n">
        <v>1</v>
      </c>
      <c r="K50" s="25">
        <f>IFERROR(VLOOKUP(F50,'FX rates'!$A$7:$B$40,2,FALSE),"")</f>
        <v/>
      </c>
      <c r="L50" s="24">
        <f>IF(OR(G50="",K50="",K50=0),"",G50/K50)</f>
        <v/>
      </c>
      <c r="M50" s="24">
        <f>IF(OR(G50="",J50=""),"",G50*J50)</f>
        <v/>
      </c>
      <c r="N50" s="24" t="n">
        <v>3950</v>
      </c>
      <c r="O50" t="inlineStr">
        <is>
          <t>2024-08-20</t>
        </is>
      </c>
    </row>
    <row r="51">
      <c r="A51" t="inlineStr">
        <is>
          <t>MCG-INV-2024-0377</t>
        </is>
      </c>
      <c r="B51" t="inlineStr">
        <is>
          <t>Meridian Consulting Group Ltd</t>
        </is>
      </c>
      <c r="C51" t="inlineStr">
        <is>
          <t>SUP-MeridianConsultingGroupLtd</t>
        </is>
      </c>
      <c r="D51" t="inlineStr">
        <is>
          <t>PO-2024-0114</t>
        </is>
      </c>
      <c r="E51" t="inlineStr">
        <is>
          <t>yes</t>
        </is>
      </c>
      <c r="F51" t="inlineStr">
        <is>
          <t>GBP</t>
        </is>
      </c>
      <c r="G51" s="24" t="n">
        <v>230765</v>
      </c>
      <c r="H51" s="24" t="n">
        <v>276918</v>
      </c>
      <c r="I51" s="24" t="n">
        <v>46153</v>
      </c>
      <c r="J51" s="25" t="n">
        <v>1.3445</v>
      </c>
      <c r="K51" s="25">
        <f>IFERROR(VLOOKUP(F51,'FX rates'!$A$7:$B$40,2,FALSE),"")</f>
        <v/>
      </c>
      <c r="L51" s="24">
        <f>IF(OR(G51="",K51="",K51=0),"",G51/K51)</f>
        <v/>
      </c>
      <c r="M51" s="24">
        <f>IF(OR(G51="",J51=""),"",G51*J51)</f>
        <v/>
      </c>
      <c r="N51" s="24" t="n">
        <v>372310.7</v>
      </c>
      <c r="O51" t="inlineStr">
        <is>
          <t>2024-04-30</t>
        </is>
      </c>
    </row>
    <row r="52">
      <c r="A52" t="inlineStr">
        <is>
          <t>MCG-INV-2024-0389</t>
        </is>
      </c>
      <c r="B52" t="inlineStr">
        <is>
          <t>Meridian Consulting Group Ltd</t>
        </is>
      </c>
      <c r="C52" t="inlineStr">
        <is>
          <t>SUP-MeridianConsultingGroupLtd</t>
        </is>
      </c>
      <c r="D52" t="inlineStr">
        <is>
          <t>PO-2024-0114</t>
        </is>
      </c>
      <c r="E52" t="inlineStr">
        <is>
          <t>yes</t>
        </is>
      </c>
      <c r="F52" t="inlineStr">
        <is>
          <t>GBP</t>
        </is>
      </c>
      <c r="G52" s="24" t="n">
        <v>230689</v>
      </c>
      <c r="H52" s="24" t="n">
        <v>276826.8</v>
      </c>
      <c r="I52" s="24" t="n">
        <v>46137.8</v>
      </c>
      <c r="J52" s="25" t="n">
        <v>1.3445</v>
      </c>
      <c r="K52" s="25">
        <f>IFERROR(VLOOKUP(F52,'FX rates'!$A$7:$B$40,2,FALSE),"")</f>
        <v/>
      </c>
      <c r="L52" s="24">
        <f>IF(OR(G52="",K52="",K52=0),"",G52/K52)</f>
        <v/>
      </c>
      <c r="M52" s="24">
        <f>IF(OR(G52="",J52=""),"",G52*J52)</f>
        <v/>
      </c>
      <c r="N52" s="24" t="n">
        <v>372188.09</v>
      </c>
      <c r="O52" t="inlineStr">
        <is>
          <t>2024-05-31</t>
        </is>
      </c>
    </row>
    <row r="53">
      <c r="A53" t="inlineStr">
        <is>
          <t>ORB-INV-9901</t>
        </is>
      </c>
      <c r="B53" t="inlineStr">
        <is>
          <t>Orbis Platform Solutions Ltd</t>
        </is>
      </c>
      <c r="C53" t="inlineStr">
        <is>
          <t>SUP-OrbisPlatformSolutionsLtd</t>
        </is>
      </c>
      <c r="D53" t="inlineStr">
        <is>
          <t>PO-2024-0145</t>
        </is>
      </c>
      <c r="E53" t="inlineStr">
        <is>
          <t>yes</t>
        </is>
      </c>
      <c r="F53" t="inlineStr">
        <is>
          <t>GBP</t>
        </is>
      </c>
      <c r="G53" s="24" t="n">
        <v>1048000</v>
      </c>
      <c r="H53" s="24" t="n">
        <v>1257600</v>
      </c>
      <c r="I53" s="24" t="n">
        <v>209600</v>
      </c>
      <c r="J53" s="25" t="n">
        <v>1.3445</v>
      </c>
      <c r="K53" s="25">
        <f>IFERROR(VLOOKUP(F53,'FX rates'!$A$7:$B$40,2,FALSE),"")</f>
        <v/>
      </c>
      <c r="L53" s="24">
        <f>IF(OR(G53="",K53="",K53=0),"",G53/K53)</f>
        <v/>
      </c>
      <c r="M53" s="24">
        <f>IF(OR(G53="",J53=""),"",G53*J53)</f>
        <v/>
      </c>
      <c r="N53" s="24" t="n">
        <v>1690818.01</v>
      </c>
      <c r="O53" t="inlineStr">
        <is>
          <t>2024-05-01</t>
        </is>
      </c>
    </row>
    <row r="54">
      <c r="A54" t="inlineStr">
        <is>
          <t>ORB-INV-9920</t>
        </is>
      </c>
      <c r="B54" t="inlineStr">
        <is>
          <t>Orbis Platform Solutions Ltd</t>
        </is>
      </c>
      <c r="C54" t="inlineStr">
        <is>
          <t>SUP-OrbisPlatformSolutionsLtd</t>
        </is>
      </c>
      <c r="D54" t="inlineStr">
        <is>
          <t>PO-2024-0145</t>
        </is>
      </c>
      <c r="E54" t="inlineStr">
        <is>
          <t>yes</t>
        </is>
      </c>
      <c r="F54" t="inlineStr">
        <is>
          <t>GBP</t>
        </is>
      </c>
      <c r="G54" s="24" t="n">
        <v>68000</v>
      </c>
      <c r="H54" s="24" t="n">
        <v>81600</v>
      </c>
      <c r="I54" s="24" t="n">
        <v>13600</v>
      </c>
      <c r="J54" s="25" t="n">
        <v>1.3445</v>
      </c>
      <c r="K54" s="25">
        <f>IFERROR(VLOOKUP(F54,'FX rates'!$A$7:$B$40,2,FALSE),"")</f>
        <v/>
      </c>
      <c r="L54" s="24">
        <f>IF(OR(G54="",K54="",K54=0),"",G54/K54)</f>
        <v/>
      </c>
      <c r="M54" s="24">
        <f>IF(OR(G54="",J54=""),"",G54*J54)</f>
        <v/>
      </c>
      <c r="N54" s="24" t="n">
        <v>109709.57</v>
      </c>
      <c r="O54" t="inlineStr">
        <is>
          <t>2024-06-15</t>
        </is>
      </c>
    </row>
    <row r="55">
      <c r="A55" t="inlineStr">
        <is>
          <t>SWF-INV-7741</t>
        </is>
      </c>
      <c r="B55" s="26" t="inlineStr">
        <is>
          <t>(no supplier on record)</t>
        </is>
      </c>
      <c r="C55" t="inlineStr">
        <is>
          <t>—</t>
        </is>
      </c>
      <c r="D55" t="inlineStr">
        <is>
          <t>PO-2024-0091</t>
        </is>
      </c>
      <c r="E55" t="inlineStr">
        <is>
          <t>yes</t>
        </is>
      </c>
      <c r="F55" t="inlineStr">
        <is>
          <t>GBP</t>
        </is>
      </c>
      <c r="G55" s="24" t="n">
        <v>18083.67</v>
      </c>
      <c r="H55" s="24" t="n">
        <v>21700.4</v>
      </c>
      <c r="I55" s="24" t="n">
        <v>3616.73</v>
      </c>
      <c r="J55" s="25" t="n">
        <v>1.3445</v>
      </c>
      <c r="K55" s="25">
        <f>IFERROR(VLOOKUP(F55,'FX rates'!$A$7:$B$40,2,FALSE),"")</f>
        <v/>
      </c>
      <c r="L55" s="24">
        <f>IF(OR(G55="",K55="",K55=0),"",G55/K55)</f>
        <v/>
      </c>
      <c r="M55" s="24">
        <f>IF(OR(G55="",J55=""),"",G55*J55)</f>
        <v/>
      </c>
      <c r="N55" s="24" t="n">
        <v>29175.75</v>
      </c>
      <c r="O55" t="inlineStr">
        <is>
          <t>2024-05-31</t>
        </is>
      </c>
    </row>
    <row r="56">
      <c r="A56" t="inlineStr">
        <is>
          <t>SWF-INV-7763</t>
        </is>
      </c>
      <c r="B56" s="26" t="inlineStr">
        <is>
          <t>(no supplier on record)</t>
        </is>
      </c>
      <c r="C56" t="inlineStr">
        <is>
          <t>—</t>
        </is>
      </c>
      <c r="D56" t="inlineStr">
        <is>
          <t>PO-2024-0091</t>
        </is>
      </c>
      <c r="E56" t="inlineStr">
        <is>
          <t>yes</t>
        </is>
      </c>
      <c r="F56" t="inlineStr">
        <is>
          <t>GBP</t>
        </is>
      </c>
      <c r="G56" s="24" t="n">
        <v>19065.23</v>
      </c>
      <c r="H56" s="24" t="n">
        <v>22878.28</v>
      </c>
      <c r="I56" s="24" t="n">
        <v>3813.05</v>
      </c>
      <c r="J56" s="25" t="n">
        <v>1.3445</v>
      </c>
      <c r="K56" s="25">
        <f>IFERROR(VLOOKUP(F56,'FX rates'!$A$7:$B$40,2,FALSE),"")</f>
        <v/>
      </c>
      <c r="L56" s="24">
        <f>IF(OR(G56="",K56="",K56=0),"",G56/K56)</f>
        <v/>
      </c>
      <c r="M56" s="24">
        <f>IF(OR(G56="",J56=""),"",G56*J56)</f>
        <v/>
      </c>
      <c r="N56" s="24" t="n">
        <v>30759.39</v>
      </c>
      <c r="O56" t="inlineStr">
        <is>
          <t>2024-06-30</t>
        </is>
      </c>
    </row>
    <row r="57">
      <c r="A57" t="inlineStr">
        <is>
          <t>SWF-INV-7785</t>
        </is>
      </c>
      <c r="B57" s="26" t="inlineStr">
        <is>
          <t>(no supplier on record)</t>
        </is>
      </c>
      <c r="C57" t="inlineStr">
        <is>
          <t>—</t>
        </is>
      </c>
      <c r="D57" t="inlineStr">
        <is>
          <t>PO-2024-0091</t>
        </is>
      </c>
      <c r="E57" t="inlineStr">
        <is>
          <t>yes</t>
        </is>
      </c>
      <c r="F57" t="inlineStr">
        <is>
          <t>GBP</t>
        </is>
      </c>
      <c r="G57" s="24" t="n">
        <v>19946.92</v>
      </c>
      <c r="H57" s="24" t="n">
        <v>23936.3</v>
      </c>
      <c r="I57" s="24" t="n">
        <v>3989.38</v>
      </c>
      <c r="J57" s="25" t="n">
        <v>1.3445</v>
      </c>
      <c r="K57" s="25">
        <f>IFERROR(VLOOKUP(F57,'FX rates'!$A$7:$B$40,2,FALSE),"")</f>
        <v/>
      </c>
      <c r="L57" s="24">
        <f>IF(OR(G57="",K57="",K57=0),"",G57/K57)</f>
        <v/>
      </c>
      <c r="M57" s="24">
        <f>IF(OR(G57="",J57=""),"",G57*J57)</f>
        <v/>
      </c>
      <c r="N57" s="24" t="n">
        <v>32181.88</v>
      </c>
      <c r="O57" t="inlineStr">
        <is>
          <t>2024-07-31</t>
        </is>
      </c>
    </row>
    <row r="59">
      <c r="A59" s="3" t="inlineStr">
        <is>
          <t>TOTAL — all invoices</t>
        </is>
      </c>
      <c r="G59" s="27">
        <f>SUM(G7:G57)</f>
        <v/>
      </c>
      <c r="H59" s="27">
        <f>SUM(H7:H57)</f>
        <v/>
      </c>
      <c r="I59" s="27">
        <f>SUM(I7:I57)</f>
        <v/>
      </c>
      <c r="L59" s="27">
        <f>SUM(L7:L57)</f>
        <v/>
      </c>
      <c r="M59" s="27">
        <f>SUM(M7:M57)</f>
        <v/>
      </c>
      <c r="N59" s="27">
        <f>SUM(N7:N57)</f>
        <v/>
      </c>
    </row>
    <row r="61">
      <c r="A61" s="28" t="inlineStr">
        <is>
          <t>Blocks the screens quote directly</t>
        </is>
      </c>
    </row>
    <row r="62" ht="32" customHeight="1">
      <c r="A62" s="9" t="inlineStr">
        <is>
          <t>Figure</t>
        </is>
      </c>
      <c r="B62" s="9" t="inlineStr">
        <is>
          <t>Value</t>
        </is>
      </c>
      <c r="C62" s="9" t="inlineStr">
        <is>
          <t>How it is built</t>
        </is>
      </c>
    </row>
    <row r="63">
      <c r="A63" t="inlineStr">
        <is>
          <t>Net spend, GBP as billed</t>
        </is>
      </c>
      <c r="B63" s="29">
        <f>SUMIF($F$7:$F$57,"GBP",G$7:G$57)</f>
        <v/>
      </c>
      <c r="C63" s="17" t="inlineStr">
        <is>
          <t>Sterling invoices only, no conversion</t>
        </is>
      </c>
    </row>
    <row r="64">
      <c r="A64" t="inlineStr">
        <is>
          <t>Net spend, USD as billed</t>
        </is>
      </c>
      <c r="B64" s="29">
        <f>SUMIF($F$7:$F$57,"USD",G$7:G$57)</f>
        <v/>
      </c>
      <c r="C64" s="17" t="inlineStr">
        <is>
          <t>Dollar invoices only, no conversion</t>
        </is>
      </c>
    </row>
    <row r="65">
      <c r="A65" t="inlineStr">
        <is>
          <t>Invoiced spend, converted</t>
        </is>
      </c>
      <c r="B65" s="29">
        <f>SUM(L7:L57)</f>
        <v/>
      </c>
      <c r="C65" s="17" t="inlineStr">
        <is>
          <t>Every invoice ÷ its live rate, then summed</t>
        </is>
      </c>
    </row>
    <row r="66">
      <c r="A66" t="inlineStr">
        <is>
          <t>…of which PO-backed</t>
        </is>
      </c>
      <c r="B66" s="29">
        <f>SUMIF($E$7:$E$57,"yes",L$7:L$57)</f>
        <v/>
      </c>
      <c r="C66" s="17" t="inlineStr">
        <is>
          <t>Same, limited to invoices whose PO was found</t>
        </is>
      </c>
    </row>
    <row r="67">
      <c r="A67" t="inlineStr">
        <is>
          <t>Spend under management</t>
        </is>
      </c>
      <c r="B67" s="30">
        <f>ROUND(B66/B65*100,1)</f>
        <v/>
      </c>
      <c r="C67" s="17" t="inlineStr">
        <is>
          <t>PO-backed ÷ total, both on the same basis</t>
        </is>
      </c>
    </row>
    <row r="68">
      <c r="A68" t="inlineStr">
        <is>
          <t>Spend matched to a named supplier</t>
        </is>
      </c>
      <c r="B68" s="29">
        <f>SUMIF($C$7:$C$57,"&lt;&gt;—",L$7:L$57)</f>
        <v/>
      </c>
      <c r="C68" s="17" t="inlineStr">
        <is>
          <t>Converted spend excluding invoices with no supplier</t>
        </is>
      </c>
    </row>
    <row r="69">
      <c r="A69" t="inlineStr">
        <is>
          <t>Suppliers with invoices</t>
        </is>
      </c>
      <c r="B69" s="31" t="n">
        <v>19</v>
      </c>
      <c r="C69" s="17" t="inlineStr">
        <is>
          <t>Distinct named suppliers on invoices</t>
        </is>
      </c>
    </row>
  </sheetData>
  <mergeCells count="1">
    <mergeCell ref="A2:O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ySplit="5" topLeftCell="A6" activePane="bottomLeft" state="frozen"/>
      <selection pane="bottomLeft" activeCell="A1" sqref="A1"/>
    </sheetView>
  </sheetViews>
  <sheetFormatPr baseColWidth="8" defaultRowHeight="15"/>
  <cols>
    <col width="13" customWidth="1" min="1" max="1"/>
    <col width="17" customWidth="1" min="2" max="2"/>
    <col width="20" customWidth="1" min="3" max="3"/>
    <col width="46" customWidth="1" min="4" max="4"/>
  </cols>
  <sheetData>
    <row r="1">
      <c r="A1" s="7" t="inlineStr">
        <is>
          <t>Exchange-rate snapshot</t>
        </is>
      </c>
    </row>
    <row r="2">
      <c r="A2" s="8" t="inlineStr">
        <is>
          <t>One snapshot, used by every conversion in this workbook and by the product itself. Rates are USD-quoted: the number is how many units of that currency equal one US dollar, so converting INTO dollars divides by it.</t>
        </is>
      </c>
    </row>
    <row r="3"/>
    <row r="5">
      <c r="A5" s="3" t="inlineStr">
        <is>
          <t>Snapshot taken: 2026-07-27T14:26:47.300129+00:00</t>
        </is>
      </c>
    </row>
    <row r="6" ht="32" customHeight="1">
      <c r="A6" s="9" t="inlineStr">
        <is>
          <t>Currency</t>
        </is>
      </c>
      <c r="B6" s="9" t="inlineStr">
        <is>
          <t>Rate (per 1 USD)</t>
        </is>
      </c>
      <c r="C6" s="9" t="inlineStr">
        <is>
          <t>1 unit = USD</t>
        </is>
      </c>
      <c r="D6" s="9" t="inlineStr">
        <is>
          <t>Used for</t>
        </is>
      </c>
    </row>
    <row r="7">
      <c r="A7" t="inlineStr">
        <is>
          <t>EUR</t>
        </is>
      </c>
      <c r="B7" s="25" t="n">
        <v>0.877986</v>
      </c>
      <c r="C7" s="25">
        <f>IF(B7=0,"",1/B7)</f>
        <v/>
      </c>
      <c r="D7" t="inlineStr">
        <is>
          <t>Every spend figure, chart and share on every screen</t>
        </is>
      </c>
    </row>
    <row r="8">
      <c r="A8" t="inlineStr">
        <is>
          <t>GBP</t>
        </is>
      </c>
      <c r="B8" s="25" t="n">
        <v>0.749517</v>
      </c>
      <c r="C8" s="25">
        <f>IF(B8=0,"",1/B8)</f>
        <v/>
      </c>
      <c r="D8" t="inlineStr">
        <is>
          <t>Every spend figure, chart and share on every screen</t>
        </is>
      </c>
    </row>
    <row r="9">
      <c r="A9" t="inlineStr">
        <is>
          <t>USD</t>
        </is>
      </c>
      <c r="B9" s="25" t="n">
        <v>1</v>
      </c>
      <c r="C9" s="25">
        <f>IF(B9=0,"",1/B9)</f>
        <v/>
      </c>
      <c r="D9" t="inlineStr">
        <is>
          <t>Every spend figure, chart and share on every screen</t>
        </is>
      </c>
    </row>
  </sheetData>
  <mergeCells count="1">
    <mergeCell ref="A2:F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4"/>
  <sheetViews>
    <sheetView workbookViewId="0">
      <pane ySplit="5" topLeftCell="A6" activePane="bottomLeft" state="frozen"/>
      <selection pane="bottomLeft" activeCell="A1" sqref="A1"/>
    </sheetView>
  </sheetViews>
  <sheetFormatPr baseColWidth="8" defaultRowHeight="15"/>
  <cols>
    <col width="20" customWidth="1" min="1" max="1"/>
    <col width="20" customWidth="1" min="2" max="2"/>
    <col width="20" customWidth="1" min="3" max="3"/>
  </cols>
  <sheetData>
    <row r="1">
      <c r="A1" s="7" t="inlineStr">
        <is>
          <t>The monthly spend chart</t>
        </is>
      </c>
    </row>
    <row r="2">
      <c r="A2" s="8" t="inlineStr">
        <is>
          <t>The series behind the Dashboard chart, converted on the live rate — the same basis as the headline KPI above it, so the chart adds up to the headline exactly.</t>
        </is>
      </c>
    </row>
    <row r="3"/>
    <row r="6" ht="32" customHeight="1">
      <c r="A6" s="9" t="inlineStr">
        <is>
          <t>Month</t>
        </is>
      </c>
      <c r="B6" s="9" t="inlineStr">
        <is>
          <t>Charted value</t>
        </is>
      </c>
      <c r="C6" s="9" t="inlineStr">
        <is>
          <t>Running total</t>
        </is>
      </c>
    </row>
    <row r="7">
      <c r="A7" t="inlineStr">
        <is>
          <t>January 2019</t>
        </is>
      </c>
      <c r="B7" s="24" t="n">
        <v>2895.197840742772</v>
      </c>
      <c r="C7" s="24">
        <f>SUM($B$7:B7)</f>
        <v/>
      </c>
    </row>
    <row r="8">
      <c r="A8" t="inlineStr">
        <is>
          <t>February 2019</t>
        </is>
      </c>
      <c r="B8" s="24" t="n">
        <v>1801.159947005872</v>
      </c>
      <c r="C8" s="24">
        <f>SUM($B$7:B8)</f>
        <v/>
      </c>
    </row>
    <row r="9">
      <c r="A9" t="inlineStr">
        <is>
          <t>July 2019</t>
        </is>
      </c>
      <c r="B9" s="24" t="n">
        <v>11117.82654696291</v>
      </c>
      <c r="C9" s="24">
        <f>SUM($B$7:B9)</f>
        <v/>
      </c>
    </row>
    <row r="10">
      <c r="A10" t="inlineStr">
        <is>
          <t>August 2019</t>
        </is>
      </c>
      <c r="B10" s="24" t="n">
        <v>11117.82654696291</v>
      </c>
      <c r="C10" s="24">
        <f>SUM($B$7:B10)</f>
        <v/>
      </c>
    </row>
    <row r="11">
      <c r="A11" t="inlineStr">
        <is>
          <t>September 2019</t>
        </is>
      </c>
      <c r="B11" s="24" t="n">
        <v>11117.82654696291</v>
      </c>
      <c r="C11" s="24">
        <f>SUM($B$7:B11)</f>
        <v/>
      </c>
    </row>
    <row r="12">
      <c r="A12" t="inlineStr">
        <is>
          <t>April 2020</t>
        </is>
      </c>
      <c r="B12" s="24" t="n">
        <v>1601.031064005219</v>
      </c>
      <c r="C12" s="24">
        <f>SUM($B$7:B12)</f>
        <v/>
      </c>
    </row>
    <row r="13">
      <c r="A13" t="inlineStr">
        <is>
          <t>May 2020</t>
        </is>
      </c>
      <c r="B13" s="24" t="n">
        <v>1601.031064005219</v>
      </c>
      <c r="C13" s="24">
        <f>SUM($B$7:B13)</f>
        <v/>
      </c>
    </row>
    <row r="14">
      <c r="A14" t="inlineStr">
        <is>
          <t>June 2020</t>
        </is>
      </c>
      <c r="B14" s="24" t="n">
        <v>1601.031064005219</v>
      </c>
      <c r="C14" s="24">
        <f>SUM($B$7:B14)</f>
        <v/>
      </c>
    </row>
    <row r="15">
      <c r="A15" t="inlineStr">
        <is>
          <t>January 2022</t>
        </is>
      </c>
      <c r="B15" s="24" t="n">
        <v>23680</v>
      </c>
      <c r="C15" s="24">
        <f>SUM($B$7:B15)</f>
        <v/>
      </c>
    </row>
    <row r="16">
      <c r="A16" t="inlineStr">
        <is>
          <t>March 2022</t>
        </is>
      </c>
      <c r="B16" s="24" t="n">
        <v>27680</v>
      </c>
      <c r="C16" s="24">
        <f>SUM($B$7:B16)</f>
        <v/>
      </c>
    </row>
    <row r="17">
      <c r="A17" t="inlineStr">
        <is>
          <t>May 2022</t>
        </is>
      </c>
      <c r="B17" s="24" t="n">
        <v>1094</v>
      </c>
      <c r="C17" s="24">
        <f>SUM($B$7:B17)</f>
        <v/>
      </c>
    </row>
    <row r="18">
      <c r="A18" t="inlineStr">
        <is>
          <t>July 2022</t>
        </is>
      </c>
      <c r="B18" s="24" t="n">
        <v>2668.385106675365</v>
      </c>
      <c r="C18" s="24">
        <f>SUM($B$7:B18)</f>
        <v/>
      </c>
    </row>
    <row r="19">
      <c r="A19" t="inlineStr">
        <is>
          <t>August 2022</t>
        </is>
      </c>
      <c r="B19" s="24" t="n">
        <v>2668.385106675365</v>
      </c>
      <c r="C19" s="24">
        <f>SUM($B$7:B19)</f>
        <v/>
      </c>
    </row>
    <row r="20">
      <c r="A20" t="inlineStr">
        <is>
          <t>September 2022</t>
        </is>
      </c>
      <c r="B20" s="24" t="n">
        <v>6233.385106675366</v>
      </c>
      <c r="C20" s="24">
        <f>SUM($B$7:B20)</f>
        <v/>
      </c>
    </row>
    <row r="21">
      <c r="A21" t="inlineStr">
        <is>
          <t>March 2023</t>
        </is>
      </c>
      <c r="B21" s="24" t="n">
        <v>31725</v>
      </c>
      <c r="C21" s="24">
        <f>SUM($B$7:B21)</f>
        <v/>
      </c>
    </row>
    <row r="22">
      <c r="A22" t="inlineStr">
        <is>
          <t>April 2023</t>
        </is>
      </c>
      <c r="B22" s="24" t="n">
        <v>5825</v>
      </c>
      <c r="C22" s="24">
        <f>SUM($B$7:B22)</f>
        <v/>
      </c>
    </row>
    <row r="23">
      <c r="A23" t="inlineStr">
        <is>
          <t>September 2023</t>
        </is>
      </c>
      <c r="B23" s="24" t="n">
        <v>1560.444926532687</v>
      </c>
      <c r="C23" s="24">
        <f>SUM($B$7:B23)</f>
        <v/>
      </c>
    </row>
    <row r="24">
      <c r="A24" t="inlineStr">
        <is>
          <t>January 2024</t>
        </is>
      </c>
      <c r="B24" s="24" t="n">
        <v>4053.677234805882</v>
      </c>
      <c r="C24" s="24">
        <f>SUM($B$7:B24)</f>
        <v/>
      </c>
    </row>
    <row r="25">
      <c r="A25" t="inlineStr">
        <is>
          <t>February 2024</t>
        </is>
      </c>
      <c r="B25" s="24" t="n">
        <v>863.4493947435482</v>
      </c>
      <c r="C25" s="24">
        <f>SUM($B$7:B25)</f>
        <v/>
      </c>
    </row>
    <row r="26">
      <c r="A26" t="inlineStr">
        <is>
          <t>April 2024</t>
        </is>
      </c>
      <c r="B26" s="24" t="n">
        <v>307884.9445709704</v>
      </c>
      <c r="C26" s="24">
        <f>SUM($B$7:B26)</f>
        <v/>
      </c>
    </row>
    <row r="27">
      <c r="A27" t="inlineStr">
        <is>
          <t>May 2024</t>
        </is>
      </c>
      <c r="B27" s="24" t="n">
        <v>1730144.439685824</v>
      </c>
      <c r="C27" s="24">
        <f>SUM($B$7:B27)</f>
        <v/>
      </c>
    </row>
    <row r="28">
      <c r="A28" t="inlineStr">
        <is>
          <t>June 2024</t>
        </is>
      </c>
      <c r="B28" s="24" t="n">
        <v>116161.7815206326</v>
      </c>
      <c r="C28" s="24">
        <f>SUM($B$7:B28)</f>
        <v/>
      </c>
    </row>
    <row r="29">
      <c r="A29" t="inlineStr">
        <is>
          <t>July 2024</t>
        </is>
      </c>
      <c r="B29" s="24" t="n">
        <v>26613.03212602249</v>
      </c>
      <c r="C29" s="24">
        <f>SUM($B$7:B29)</f>
        <v/>
      </c>
    </row>
    <row r="30">
      <c r="A30" t="inlineStr">
        <is>
          <t>August 2024</t>
        </is>
      </c>
      <c r="B30" s="24" t="n">
        <v>3950</v>
      </c>
      <c r="C30" s="24">
        <f>SUM($B$7:B30)</f>
        <v/>
      </c>
    </row>
    <row r="31">
      <c r="A31" t="inlineStr">
        <is>
          <t>September 2024</t>
        </is>
      </c>
      <c r="B31" s="24" t="n">
        <v>3771.295380891961</v>
      </c>
      <c r="C31" s="24">
        <f>SUM($B$7:B31)</f>
        <v/>
      </c>
    </row>
    <row r="32">
      <c r="A32" t="inlineStr">
        <is>
          <t>October 2024</t>
        </is>
      </c>
      <c r="B32" s="24" t="n">
        <v>2843.231040790269</v>
      </c>
      <c r="C32" s="24">
        <f>SUM($B$7:B32)</f>
        <v/>
      </c>
    </row>
    <row r="33">
      <c r="A33" t="inlineStr">
        <is>
          <t>November 2024</t>
        </is>
      </c>
      <c r="B33" s="24" t="n">
        <v>1758.999462320401</v>
      </c>
      <c r="C33" s="24">
        <f>SUM($B$7:B33)</f>
        <v/>
      </c>
    </row>
    <row r="34">
      <c r="A34" t="inlineStr">
        <is>
          <t>January 2025</t>
        </is>
      </c>
      <c r="B34" s="24" t="n">
        <v>1534.935164912871</v>
      </c>
      <c r="C34" s="24">
        <f>SUM($B$7:B34)</f>
        <v/>
      </c>
    </row>
    <row r="35">
      <c r="A35" t="inlineStr">
        <is>
          <t>June 2025</t>
        </is>
      </c>
      <c r="B35" s="24" t="n">
        <v>13341.92553337683</v>
      </c>
      <c r="C35" s="24">
        <f>SUM($B$7:B35)</f>
        <v/>
      </c>
    </row>
    <row r="36">
      <c r="A36" t="inlineStr">
        <is>
          <t>July 2025</t>
        </is>
      </c>
      <c r="B36" s="24" t="n">
        <v>6670.962766688414</v>
      </c>
      <c r="C36" s="24">
        <f>SUM($B$7:B36)</f>
        <v/>
      </c>
    </row>
    <row r="37">
      <c r="A37" t="inlineStr">
        <is>
          <t>August 2025</t>
        </is>
      </c>
      <c r="B37" s="24" t="n">
        <v>6670.962766688414</v>
      </c>
      <c r="C37" s="24">
        <f>SUM($B$7:B37)</f>
        <v/>
      </c>
    </row>
    <row r="38">
      <c r="A38" t="inlineStr">
        <is>
          <t>September 2025</t>
        </is>
      </c>
      <c r="B38" s="24" t="n">
        <v>6670.962766688414</v>
      </c>
      <c r="C38" s="24">
        <f>SUM($B$7:B38)</f>
        <v/>
      </c>
    </row>
    <row r="39">
      <c r="A39" t="inlineStr">
        <is>
          <t>October 2025</t>
        </is>
      </c>
      <c r="B39" s="24" t="n">
        <v>133419.2553337683</v>
      </c>
      <c r="C39" s="24">
        <f>SUM($B$7:B39)</f>
        <v/>
      </c>
    </row>
    <row r="40">
      <c r="A40" t="inlineStr">
        <is>
          <t>December 2025</t>
        </is>
      </c>
      <c r="B40" s="24" t="n">
        <v>20012.88830006524</v>
      </c>
      <c r="C40" s="24">
        <f>SUM($B$7:B40)</f>
        <v/>
      </c>
    </row>
    <row r="42">
      <c r="A42" s="3" t="inlineStr">
        <is>
          <t>Chart total</t>
        </is>
      </c>
      <c r="B42" s="29">
        <f>SUM(B7:B40)</f>
        <v/>
      </c>
    </row>
    <row r="43">
      <c r="A43" s="3" t="inlineStr">
        <is>
          <t>Headline KPI</t>
        </is>
      </c>
      <c r="B43" s="32">
        <f>SUM(Invoices!L7:L57)</f>
        <v/>
      </c>
    </row>
    <row r="44">
      <c r="A44" s="3" t="inlineStr">
        <is>
          <t>Difference</t>
        </is>
      </c>
      <c r="B44" s="33">
        <f>B42-B43</f>
        <v/>
      </c>
    </row>
  </sheetData>
  <mergeCells count="1">
    <mergeCell ref="A2: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5"/>
  <sheetViews>
    <sheetView workbookViewId="0">
      <pane ySplit="5" topLeftCell="A6" activePane="bottomLeft" state="frozen"/>
      <selection pane="bottomLeft" activeCell="A1" sqref="A1"/>
    </sheetView>
  </sheetViews>
  <sheetFormatPr baseColWidth="8" defaultRowHeight="15"/>
  <cols>
    <col width="30" customWidth="1" min="1" max="1"/>
    <col width="24" customWidth="1" min="2" max="2"/>
    <col width="10" customWidth="1" min="3" max="3"/>
    <col width="30" customWidth="1" min="4" max="4"/>
    <col width="17" customWidth="1" min="5" max="5"/>
    <col width="18" customWidth="1" min="6" max="6"/>
    <col width="16" customWidth="1" min="7" max="7"/>
  </cols>
  <sheetData>
    <row r="1">
      <c r="A1" s="7" t="inlineStr">
        <is>
          <t>Quote records, grouped by the quote they belong to</t>
        </is>
      </c>
    </row>
    <row r="2">
      <c r="A2" s="8" t="inlineStr">
        <is>
          <t>Revised quotes are separate records ('(V2)', '(V3 (BAFO))'). The register lists them all — each is a real document — but counts and totals resolve to the latest revision of each quote. Note the BAFO rounds are the LOWEST of their series, so summing every round inflates a figure that should be falling.</t>
        </is>
      </c>
    </row>
    <row r="3"/>
    <row r="6" ht="32" customHeight="1">
      <c r="A6" s="9" t="inlineStr">
        <is>
          <t>Quote record</t>
        </is>
      </c>
      <c r="B6" s="9" t="inlineStr">
        <is>
          <t>Underlying quote</t>
        </is>
      </c>
      <c r="C6" s="9" t="inlineStr">
        <is>
          <t>Revision</t>
        </is>
      </c>
      <c r="D6" s="9" t="inlineStr">
        <is>
          <t>Supplier</t>
        </is>
      </c>
      <c r="E6" s="9" t="inlineStr">
        <is>
          <t>Net amount</t>
        </is>
      </c>
      <c r="F6" s="9" t="inlineStr">
        <is>
          <t>Gross (incl tax)</t>
        </is>
      </c>
      <c r="G6" s="9" t="inlineStr">
        <is>
          <t>Check</t>
        </is>
      </c>
    </row>
    <row r="7">
      <c r="A7" t="inlineStr">
        <is>
          <t>01475</t>
        </is>
      </c>
      <c r="B7" t="inlineStr">
        <is>
          <t>01475</t>
        </is>
      </c>
      <c r="C7" t="inlineStr">
        <is>
          <t>V1</t>
        </is>
      </c>
      <c r="D7" t="inlineStr">
        <is>
          <t>SUP-EleanorPriceCreativeStudio</t>
        </is>
      </c>
      <c r="E7" s="24" t="n">
        <v>3600</v>
      </c>
      <c r="F7" s="24" t="n">
        <v>4320</v>
      </c>
      <c r="G7">
        <f>IF(E7&gt;F7,"NET &gt; GROSS — withheld on screen","ok")</f>
        <v/>
      </c>
    </row>
    <row r="8">
      <c r="A8" t="inlineStr">
        <is>
          <t>102494</t>
        </is>
      </c>
      <c r="B8" t="inlineStr">
        <is>
          <t>102494</t>
        </is>
      </c>
      <c r="C8" t="inlineStr">
        <is>
          <t>V1</t>
        </is>
      </c>
      <c r="D8" t="inlineStr">
        <is>
          <t>SUP-DixonReynoldsAndSolomon</t>
        </is>
      </c>
      <c r="E8" s="24" t="n">
        <v>638.6</v>
      </c>
      <c r="F8" s="24" t="n">
        <v>766.3200000000001</v>
      </c>
      <c r="G8">
        <f>IF(E8&gt;F8,"NET &gt; GROSS — withheld on screen","ok")</f>
        <v/>
      </c>
    </row>
    <row r="9">
      <c r="A9" t="inlineStr">
        <is>
          <t>10253</t>
        </is>
      </c>
      <c r="B9" t="inlineStr">
        <is>
          <t>10253</t>
        </is>
      </c>
      <c r="C9" t="inlineStr">
        <is>
          <t>V1</t>
        </is>
      </c>
      <c r="D9" t="inlineStr">
        <is>
          <t>SUP-DixonReynoldsAndSolomon</t>
        </is>
      </c>
      <c r="E9" s="24" t="n">
        <v>1318.4</v>
      </c>
      <c r="F9" s="24" t="n">
        <v>1582.08</v>
      </c>
      <c r="G9">
        <f>IF(E9&gt;F9,"NET &gt; GROSS — withheld on screen","ok")</f>
        <v/>
      </c>
    </row>
    <row r="10">
      <c r="A10" t="inlineStr">
        <is>
          <t>104680</t>
        </is>
      </c>
      <c r="B10" t="inlineStr">
        <is>
          <t>104680</t>
        </is>
      </c>
      <c r="C10" t="inlineStr">
        <is>
          <t>V1</t>
        </is>
      </c>
      <c r="D10" t="inlineStr">
        <is>
          <t>SUP-GomezGoodAndCross</t>
        </is>
      </c>
      <c r="E10" s="24" t="n">
        <v>1169.58</v>
      </c>
      <c r="F10" s="24" t="n">
        <v>1403.5</v>
      </c>
      <c r="G10">
        <f>IF(E10&gt;F10,"NET &gt; GROSS — withheld on screen","ok")</f>
        <v/>
      </c>
    </row>
    <row r="11">
      <c r="A11" t="inlineStr">
        <is>
          <t>104683</t>
        </is>
      </c>
      <c r="B11" t="inlineStr">
        <is>
          <t>104683</t>
        </is>
      </c>
      <c r="C11" t="inlineStr">
        <is>
          <t>V1</t>
        </is>
      </c>
      <c r="D11" t="inlineStr">
        <is>
          <t>SUP-GomezGoodAndCross</t>
        </is>
      </c>
      <c r="E11" s="24" t="n">
        <v>647.17</v>
      </c>
      <c r="F11" s="24" t="n">
        <v>776.6</v>
      </c>
      <c r="G11">
        <f>IF(E11&gt;F11,"NET &gt; GROSS — withheld on screen","ok")</f>
        <v/>
      </c>
    </row>
    <row r="12">
      <c r="A12" t="inlineStr">
        <is>
          <t>104837</t>
        </is>
      </c>
      <c r="B12" t="inlineStr">
        <is>
          <t>104837</t>
        </is>
      </c>
      <c r="C12" t="inlineStr">
        <is>
          <t>V1</t>
        </is>
      </c>
      <c r="D12" t="inlineStr">
        <is>
          <t>SUP-GomezGoodAndCross</t>
        </is>
      </c>
      <c r="E12" s="24" t="n">
        <v>1150.46</v>
      </c>
      <c r="F12" s="24" t="n">
        <v>1380.55</v>
      </c>
      <c r="G12">
        <f>IF(E12&gt;F12,"NET &gt; GROSS — withheld on screen","ok")</f>
        <v/>
      </c>
    </row>
    <row r="13">
      <c r="A13" t="inlineStr">
        <is>
          <t>128234</t>
        </is>
      </c>
      <c r="B13" t="inlineStr">
        <is>
          <t>128234</t>
        </is>
      </c>
      <c r="C13" t="inlineStr">
        <is>
          <t>V1</t>
        </is>
      </c>
      <c r="D13" t="inlineStr">
        <is>
          <t>SUP-DuncanLlc</t>
        </is>
      </c>
      <c r="E13" s="24" t="n">
        <v>2131.05</v>
      </c>
      <c r="F13" s="24" t="n">
        <v>2557.26</v>
      </c>
      <c r="G13">
        <f>IF(E13&gt;F13,"NET &gt; GROSS — withheld on screen","ok")</f>
        <v/>
      </c>
    </row>
    <row r="14">
      <c r="A14" t="inlineStr">
        <is>
          <t>136586</t>
        </is>
      </c>
      <c r="B14" t="inlineStr">
        <is>
          <t>136586</t>
        </is>
      </c>
      <c r="C14" t="inlineStr">
        <is>
          <t>V1</t>
        </is>
      </c>
      <c r="D14" t="inlineStr">
        <is>
          <t>SUP-PerryLtd</t>
        </is>
      </c>
      <c r="E14" s="24" t="n">
        <v>2826.65</v>
      </c>
      <c r="F14" s="24" t="n">
        <v>3391.98</v>
      </c>
      <c r="G14">
        <f>IF(E14&gt;F14,"NET &gt; GROSS — withheld on screen","ok")</f>
        <v/>
      </c>
    </row>
    <row r="15">
      <c r="A15" t="inlineStr">
        <is>
          <t>2026-00487</t>
        </is>
      </c>
      <c r="B15" t="inlineStr">
        <is>
          <t>2026-00487</t>
        </is>
      </c>
      <c r="C15" t="inlineStr">
        <is>
          <t>V1</t>
        </is>
      </c>
      <c r="D15" t="inlineStr">
        <is>
          <t>SUP-SupplyxLtd</t>
        </is>
      </c>
      <c r="E15" s="24" t="n">
        <v>66910</v>
      </c>
      <c r="F15" s="24" t="n">
        <v>80292</v>
      </c>
      <c r="G15">
        <f>IF(E15&gt;F15,"NET &gt; GROSS — withheld on screen","ok")</f>
        <v/>
      </c>
    </row>
    <row r="16">
      <c r="A16" t="inlineStr">
        <is>
          <t>2026-01521</t>
        </is>
      </c>
      <c r="B16" t="inlineStr">
        <is>
          <t>2026-01521</t>
        </is>
      </c>
      <c r="C16" t="inlineStr">
        <is>
          <t>V1</t>
        </is>
      </c>
      <c r="D16" t="inlineStr">
        <is>
          <t>SUP-PeoplefirstHrSolutionsLtd</t>
        </is>
      </c>
      <c r="E16" s="24" t="n">
        <v>100000</v>
      </c>
      <c r="F16" s="24" t="n">
        <v>120000</v>
      </c>
      <c r="G16">
        <f>IF(E16&gt;F16,"NET &gt; GROSS — withheld on screen","ok")</f>
        <v/>
      </c>
    </row>
    <row r="17">
      <c r="A17" t="inlineStr">
        <is>
          <t>25-032</t>
        </is>
      </c>
      <c r="B17" t="inlineStr">
        <is>
          <t>25-032</t>
        </is>
      </c>
      <c r="C17" t="inlineStr">
        <is>
          <t>V1</t>
        </is>
      </c>
      <c r="D17" t="inlineStr">
        <is>
          <t>SUP-AuariusMarketing</t>
        </is>
      </c>
      <c r="E17" s="24" t="n">
        <v>60000</v>
      </c>
      <c r="F17" s="24" t="n">
        <v>72000</v>
      </c>
      <c r="G17">
        <f>IF(E17&gt;F17,"NET &gt; GROSS — withheld on screen","ok")</f>
        <v/>
      </c>
    </row>
    <row r="18">
      <c r="A18" t="inlineStr">
        <is>
          <t>25-304-34</t>
        </is>
      </c>
      <c r="B18" t="inlineStr">
        <is>
          <t>25-304-34</t>
        </is>
      </c>
      <c r="C18" t="inlineStr">
        <is>
          <t>V1</t>
        </is>
      </c>
      <c r="D18" t="inlineStr">
        <is>
          <t>SUP-Infotech</t>
        </is>
      </c>
      <c r="E18" s="24" t="n">
        <v>7200</v>
      </c>
      <c r="F18" s="24" t="n">
        <v>8640</v>
      </c>
      <c r="G18">
        <f>IF(E18&gt;F18,"NET &gt; GROSS — withheld on screen","ok")</f>
        <v/>
      </c>
    </row>
    <row r="19">
      <c r="A19" t="inlineStr">
        <is>
          <t>4758694</t>
        </is>
      </c>
      <c r="B19" t="inlineStr">
        <is>
          <t>4758694</t>
        </is>
      </c>
      <c r="C19" t="inlineStr">
        <is>
          <t>V1</t>
        </is>
      </c>
      <c r="D19" t="inlineStr">
        <is>
          <t>SUP-NexasparkMarketing</t>
        </is>
      </c>
      <c r="E19" s="24" t="n">
        <v>25000</v>
      </c>
      <c r="F19" s="24" t="n">
        <v>30000</v>
      </c>
      <c r="G19">
        <f>IF(E19&gt;F19,"NET &gt; GROSS — withheld on screen","ok")</f>
        <v/>
      </c>
    </row>
    <row r="20">
      <c r="A20" t="inlineStr">
        <is>
          <t>599390</t>
        </is>
      </c>
      <c r="B20" t="inlineStr">
        <is>
          <t>599390</t>
        </is>
      </c>
      <c r="C20" t="inlineStr">
        <is>
          <t>V1</t>
        </is>
      </c>
      <c r="D20" t="inlineStr">
        <is>
          <t>SUP-CityOfNewport</t>
        </is>
      </c>
      <c r="E20" s="24" t="n">
        <v>100000</v>
      </c>
      <c r="F20" s="24" t="n">
        <v>120000</v>
      </c>
      <c r="G20">
        <f>IF(E20&gt;F20,"NET &gt; GROSS — withheld on screen","ok")</f>
        <v/>
      </c>
    </row>
    <row r="21">
      <c r="A21" t="inlineStr">
        <is>
          <t>APX-PS-5512</t>
        </is>
      </c>
      <c r="B21" t="inlineStr">
        <is>
          <t>APX-PS-5512</t>
        </is>
      </c>
      <c r="C21" t="inlineStr">
        <is>
          <t>V1</t>
        </is>
      </c>
      <c r="D21" t="inlineStr">
        <is>
          <t>SUP-ApexDigitalTransformationLtd</t>
        </is>
      </c>
      <c r="E21" s="24" t="n">
        <v>2667200</v>
      </c>
      <c r="F21" s="24" t="n">
        <v>3200640</v>
      </c>
      <c r="G21">
        <f>IF(E21&gt;F21,"NET &gt; GROSS — withheld on screen","ok")</f>
        <v/>
      </c>
    </row>
    <row r="22">
      <c r="A22" t="inlineStr">
        <is>
          <t>APX-PS-5512 (V2)</t>
        </is>
      </c>
      <c r="B22" t="inlineStr">
        <is>
          <t>APX-PS-5512</t>
        </is>
      </c>
      <c r="C22" t="inlineStr">
        <is>
          <t>V2</t>
        </is>
      </c>
      <c r="D22" t="inlineStr">
        <is>
          <t>SUP-ApexDigitalTransformationLtd</t>
        </is>
      </c>
      <c r="E22" s="24" t="n">
        <v>2447082.5</v>
      </c>
      <c r="F22" s="24" t="n">
        <v>2936499</v>
      </c>
      <c r="G22">
        <f>IF(E22&gt;F22,"NET &gt; GROSS — withheld on screen","ok")</f>
        <v/>
      </c>
    </row>
    <row r="23">
      <c r="A23" t="inlineStr">
        <is>
          <t>APX-PS-5512 (V3 (BAFO))</t>
        </is>
      </c>
      <c r="B23" t="inlineStr">
        <is>
          <t>APX-PS-5512</t>
        </is>
      </c>
      <c r="C23" t="inlineStr">
        <is>
          <t>V3</t>
        </is>
      </c>
      <c r="D23" t="inlineStr">
        <is>
          <t>SUP-ApexDigitalTransformationLtd</t>
        </is>
      </c>
      <c r="E23" s="24" t="n">
        <v>2269682.5</v>
      </c>
      <c r="F23" s="24" t="n">
        <v>2723619</v>
      </c>
      <c r="G23">
        <f>IF(E23&gt;F23,"NET &gt; GROSS — withheld on screen","ok")</f>
        <v/>
      </c>
    </row>
    <row r="24">
      <c r="A24" t="inlineStr">
        <is>
          <t>CL-2024-0771 (V1)</t>
        </is>
      </c>
      <c r="B24" t="inlineStr">
        <is>
          <t>CL-2024-0771</t>
        </is>
      </c>
      <c r="C24" t="inlineStr">
        <is>
          <t>V1</t>
        </is>
      </c>
      <c r="D24" t="inlineStr">
        <is>
          <t>SUP-CondorLogisticsUkLtd</t>
        </is>
      </c>
      <c r="E24" s="24" t="n">
        <v>213300</v>
      </c>
      <c r="F24" s="24" t="n">
        <v>255960</v>
      </c>
      <c r="G24">
        <f>IF(E24&gt;F24,"NET &gt; GROSS — withheld on screen","ok")</f>
        <v/>
      </c>
    </row>
    <row r="25">
      <c r="A25" t="inlineStr">
        <is>
          <t>CL-2024-0771 (V2)</t>
        </is>
      </c>
      <c r="B25" t="inlineStr">
        <is>
          <t>CL-2024-0771</t>
        </is>
      </c>
      <c r="C25" t="inlineStr">
        <is>
          <t>V2</t>
        </is>
      </c>
      <c r="D25" t="inlineStr">
        <is>
          <t>SUP-CondorLogisticsUkLtd</t>
        </is>
      </c>
      <c r="E25" s="24" t="n">
        <v>207910</v>
      </c>
      <c r="F25" s="24" t="n">
        <v>249492</v>
      </c>
      <c r="G25">
        <f>IF(E25&gt;F25,"NET &gt; GROSS — withheld on screen","ok")</f>
        <v/>
      </c>
    </row>
    <row r="26">
      <c r="A26" t="inlineStr">
        <is>
          <t>CL-2024-0771 (V3 (BAFO))</t>
        </is>
      </c>
      <c r="B26" t="inlineStr">
        <is>
          <t>CL-2024-0771</t>
        </is>
      </c>
      <c r="C26" t="inlineStr">
        <is>
          <t>V3</t>
        </is>
      </c>
      <c r="D26" t="inlineStr">
        <is>
          <t>SUP-CondorLogisticsUkLtd</t>
        </is>
      </c>
      <c r="E26" s="24" t="n">
        <v>206686</v>
      </c>
      <c r="F26" s="24" t="n">
        <v>248023.2</v>
      </c>
      <c r="G26">
        <f>IF(E26&gt;F26,"NET &gt; GROSS — withheld on screen","ok")</f>
        <v/>
      </c>
    </row>
    <row r="27">
      <c r="A27" t="inlineStr">
        <is>
          <t>CPS-Q-3380</t>
        </is>
      </c>
      <c r="B27" t="inlineStr">
        <is>
          <t>CPS-Q-3380</t>
        </is>
      </c>
      <c r="C27" t="inlineStr">
        <is>
          <t>V1</t>
        </is>
      </c>
      <c r="D27" t="inlineStr">
        <is>
          <t>SUP-ClearpathSystemsLtd</t>
        </is>
      </c>
      <c r="E27" s="24" t="n">
        <v>1051000</v>
      </c>
      <c r="F27" s="24" t="n">
        <v>1261200</v>
      </c>
      <c r="G27">
        <f>IF(E27&gt;F27,"NET &gt; GROSS — withheld on screen","ok")</f>
        <v/>
      </c>
    </row>
    <row r="28">
      <c r="A28" t="inlineStr">
        <is>
          <t>CPS-Q-3380 (V2)</t>
        </is>
      </c>
      <c r="B28" t="inlineStr">
        <is>
          <t>CPS-Q-3380</t>
        </is>
      </c>
      <c r="C28" t="inlineStr">
        <is>
          <t>V2</t>
        </is>
      </c>
      <c r="D28" t="inlineStr">
        <is>
          <t>SUP-ClearpathSystemsLtd</t>
        </is>
      </c>
      <c r="E28" s="24" t="n">
        <v>1021600</v>
      </c>
      <c r="F28" s="24" t="n">
        <v>1225920</v>
      </c>
      <c r="G28">
        <f>IF(E28&gt;F28,"NET &gt; GROSS — withheld on screen","ok")</f>
        <v/>
      </c>
    </row>
    <row r="29">
      <c r="A29" t="inlineStr">
        <is>
          <t>CPS-Q-3380 (V3 (BAFO))</t>
        </is>
      </c>
      <c r="B29" t="inlineStr">
        <is>
          <t>CPS-Q-3380</t>
        </is>
      </c>
      <c r="C29" t="inlineStr">
        <is>
          <t>V3</t>
        </is>
      </c>
      <c r="D29" t="inlineStr">
        <is>
          <t>SUP-ClearpathSystemsLtd</t>
        </is>
      </c>
      <c r="E29" s="24" t="n">
        <v>994000</v>
      </c>
      <c r="F29" s="24" t="n">
        <v>1192800</v>
      </c>
      <c r="G29">
        <f>IF(E29&gt;F29,"NET &gt; GROSS — withheld on screen","ok")</f>
        <v/>
      </c>
    </row>
    <row r="30">
      <c r="A30" t="inlineStr">
        <is>
          <t>DHA-2025-102</t>
        </is>
      </c>
      <c r="B30" t="inlineStr">
        <is>
          <t>DHA-2025-102</t>
        </is>
      </c>
      <c r="C30" t="inlineStr">
        <is>
          <t>V1</t>
        </is>
      </c>
      <c r="D30" t="inlineStr">
        <is>
          <t>SUP-DesignHouseAgency</t>
        </is>
      </c>
      <c r="E30" s="24" t="n">
        <v>6000</v>
      </c>
      <c r="F30" s="24" t="n">
        <v>7200</v>
      </c>
      <c r="G30">
        <f>IF(E30&gt;F30,"NET &gt; GROSS — withheld on screen","ok")</f>
        <v/>
      </c>
    </row>
    <row r="31">
      <c r="A31" t="inlineStr">
        <is>
          <t>FSM-Q-9912</t>
        </is>
      </c>
      <c r="B31" t="inlineStr">
        <is>
          <t>FSM-Q-9912</t>
        </is>
      </c>
      <c r="C31" t="inlineStr">
        <is>
          <t>V1</t>
        </is>
      </c>
      <c r="D31" t="inlineStr">
        <is>
          <t>SUP-FortisServiceManagementGroupLtd</t>
        </is>
      </c>
      <c r="E31" s="24" t="n">
        <v>1233720</v>
      </c>
      <c r="F31" s="24" t="n">
        <v>1480464</v>
      </c>
      <c r="G31">
        <f>IF(E31&gt;F31,"NET &gt; GROSS — withheld on screen","ok")</f>
        <v/>
      </c>
    </row>
    <row r="32">
      <c r="A32" t="inlineStr">
        <is>
          <t>MCG/2024/PS/0847 (V1)</t>
        </is>
      </c>
      <c r="B32" t="inlineStr">
        <is>
          <t>MCG/2024/PS/0847</t>
        </is>
      </c>
      <c r="C32" t="inlineStr">
        <is>
          <t>V1</t>
        </is>
      </c>
      <c r="D32" t="inlineStr">
        <is>
          <t>SUP-MeridianConsultingGroupLtd</t>
        </is>
      </c>
      <c r="E32" s="24" t="n">
        <v>2265700</v>
      </c>
      <c r="F32" s="24" t="n">
        <v>2718840</v>
      </c>
      <c r="G32">
        <f>IF(E32&gt;F32,"NET &gt; GROSS — withheld on screen","ok")</f>
        <v/>
      </c>
    </row>
    <row r="33">
      <c r="A33" t="inlineStr">
        <is>
          <t>MCG/2024/PS/0847 (V2)</t>
        </is>
      </c>
      <c r="B33" t="inlineStr">
        <is>
          <t>MCG/2024/PS/0847</t>
        </is>
      </c>
      <c r="C33" t="inlineStr">
        <is>
          <t>V2</t>
        </is>
      </c>
      <c r="D33" t="inlineStr">
        <is>
          <t>SUP-MeridianConsultingGroupLtd</t>
        </is>
      </c>
      <c r="E33" s="24" t="n">
        <v>2153090</v>
      </c>
      <c r="F33" s="24" t="n">
        <v>2583708</v>
      </c>
      <c r="G33">
        <f>IF(E33&gt;F33,"NET &gt; GROSS — withheld on screen","ok")</f>
        <v/>
      </c>
    </row>
    <row r="34">
      <c r="A34" t="inlineStr">
        <is>
          <t>MCG/2024/PS/0847 (V3 (BAFO))</t>
        </is>
      </c>
      <c r="B34" t="inlineStr">
        <is>
          <t>MCG/2024/PS/0847</t>
        </is>
      </c>
      <c r="C34" t="inlineStr">
        <is>
          <t>V3</t>
        </is>
      </c>
      <c r="D34" t="inlineStr">
        <is>
          <t>SUP-MeridianConsultingGroupLtd</t>
        </is>
      </c>
      <c r="E34" s="24" t="n">
        <v>2074438</v>
      </c>
      <c r="F34" s="24" t="n">
        <v>2489325.6</v>
      </c>
      <c r="G34">
        <f>IF(E34&gt;F34,"NET &gt; GROSS — withheld on screen","ok")</f>
        <v/>
      </c>
    </row>
    <row r="35">
      <c r="A35" t="inlineStr">
        <is>
          <t>MFS-Q-3391 (V1)</t>
        </is>
      </c>
      <c r="B35" t="inlineStr">
        <is>
          <t>MFS-Q-3391</t>
        </is>
      </c>
      <c r="C35" t="inlineStr">
        <is>
          <t>V1</t>
        </is>
      </c>
      <c r="D35" t="inlineStr">
        <is>
          <t>SUP-MeridianFreightSolutionsLtd</t>
        </is>
      </c>
      <c r="E35" s="24" t="n">
        <v>217560</v>
      </c>
      <c r="F35" s="24" t="n">
        <v>261072</v>
      </c>
      <c r="G35">
        <f>IF(E35&gt;F35,"NET &gt; GROSS — withheld on screen","ok")</f>
        <v/>
      </c>
    </row>
    <row r="36">
      <c r="A36" t="inlineStr">
        <is>
          <t>MFS-Q-3391 (V2)</t>
        </is>
      </c>
      <c r="B36" t="inlineStr">
        <is>
          <t>MFS-Q-3391</t>
        </is>
      </c>
      <c r="C36" t="inlineStr">
        <is>
          <t>V2</t>
        </is>
      </c>
      <c r="D36" t="inlineStr">
        <is>
          <t>SUP-MeridianFreightSolutionsLtd</t>
        </is>
      </c>
      <c r="E36" s="24" t="n">
        <v>212950</v>
      </c>
      <c r="F36" s="24" t="n">
        <v>255540</v>
      </c>
      <c r="G36">
        <f>IF(E36&gt;F36,"NET &gt; GROSS — withheld on screen","ok")</f>
        <v/>
      </c>
    </row>
    <row r="37">
      <c r="A37" t="inlineStr">
        <is>
          <t>MFS-Q-3391 (V3 (BAFO))</t>
        </is>
      </c>
      <c r="B37" t="inlineStr">
        <is>
          <t>MFS-Q-3391</t>
        </is>
      </c>
      <c r="C37" t="inlineStr">
        <is>
          <t>V3</t>
        </is>
      </c>
      <c r="D37" t="inlineStr">
        <is>
          <t>SUP-MeridianFreightSolutionsLtd</t>
        </is>
      </c>
      <c r="E37" s="24" t="n">
        <v>198720</v>
      </c>
      <c r="F37" s="24" t="n">
        <v>238464</v>
      </c>
      <c r="G37">
        <f>IF(E37&gt;F37,"NET &gt; GROSS — withheld on screen","ok")</f>
        <v/>
      </c>
    </row>
    <row r="38">
      <c r="A38" t="inlineStr">
        <is>
          <t>NXF-2024-441</t>
        </is>
      </c>
      <c r="B38" t="inlineStr">
        <is>
          <t>NXF-2024-441</t>
        </is>
      </c>
      <c r="C38" t="inlineStr">
        <is>
          <t>V1</t>
        </is>
      </c>
      <c r="D38" t="inlineStr">
        <is>
          <t>SUP-NexusflowPlatformLtd</t>
        </is>
      </c>
      <c r="E38" s="24" t="n">
        <v>1020000</v>
      </c>
      <c r="F38" s="24" t="n">
        <v>1224000</v>
      </c>
      <c r="G38">
        <f>IF(E38&gt;F38,"NET &gt; GROSS — withheld on screen","ok")</f>
        <v/>
      </c>
    </row>
    <row r="39">
      <c r="A39" t="inlineStr">
        <is>
          <t>NXF-2024-441 (V2)</t>
        </is>
      </c>
      <c r="B39" t="inlineStr">
        <is>
          <t>NXF-2024-441</t>
        </is>
      </c>
      <c r="C39" t="inlineStr">
        <is>
          <t>V2</t>
        </is>
      </c>
      <c r="D39" t="inlineStr">
        <is>
          <t>SUP-NexusflowPlatformLtd</t>
        </is>
      </c>
      <c r="E39" s="24" t="n">
        <v>1053000</v>
      </c>
      <c r="F39" s="24" t="n">
        <v>1263600</v>
      </c>
      <c r="G39">
        <f>IF(E39&gt;F39,"NET &gt; GROSS — withheld on screen","ok")</f>
        <v/>
      </c>
    </row>
    <row r="40">
      <c r="A40" s="34" t="inlineStr">
        <is>
          <t>ORB-Q-6612</t>
        </is>
      </c>
      <c r="B40" s="34" t="inlineStr">
        <is>
          <t>ORB-Q-6612</t>
        </is>
      </c>
      <c r="C40" s="34" t="inlineStr">
        <is>
          <t>V1</t>
        </is>
      </c>
      <c r="D40" s="34" t="inlineStr">
        <is>
          <t>SUP-OrbisPlatformSolutionsLtd</t>
        </is>
      </c>
      <c r="E40" s="35" t="n">
        <v>3335591</v>
      </c>
      <c r="F40" s="35" t="n">
        <v>1315200</v>
      </c>
      <c r="G40" s="36">
        <f>IF(E40&gt;F40,"NET &gt; GROSS — withheld on screen","ok")</f>
        <v/>
      </c>
    </row>
    <row r="41">
      <c r="A41" t="inlineStr">
        <is>
          <t>POM-2024-220</t>
        </is>
      </c>
      <c r="B41" t="inlineStr">
        <is>
          <t>POM-2024-220</t>
        </is>
      </c>
      <c r="C41" t="inlineStr">
        <is>
          <t>V1</t>
        </is>
      </c>
      <c r="D41" t="inlineStr">
        <is>
          <t>SUP-PrimeopsManagedSolutionsLtd</t>
        </is>
      </c>
      <c r="E41" s="24" t="n">
        <v>1313760</v>
      </c>
      <c r="F41" s="24" t="n">
        <v>1576512</v>
      </c>
      <c r="G41">
        <f>IF(E41&gt;F41,"NET &gt; GROSS — withheld on screen","ok")</f>
        <v/>
      </c>
    </row>
    <row r="42">
      <c r="A42" t="inlineStr">
        <is>
          <t>POM-2024-220 (V2)</t>
        </is>
      </c>
      <c r="B42" t="inlineStr">
        <is>
          <t>POM-2024-220</t>
        </is>
      </c>
      <c r="C42" t="inlineStr">
        <is>
          <t>V2</t>
        </is>
      </c>
      <c r="D42" t="inlineStr">
        <is>
          <t>SUP-PrimeopsManagedSolutionsLtd</t>
        </is>
      </c>
      <c r="E42" s="24" t="n">
        <v>1344760</v>
      </c>
      <c r="F42" s="24" t="n">
        <v>1613712</v>
      </c>
      <c r="G42">
        <f>IF(E42&gt;F42,"NET &gt; GROSS — withheld on screen","ok")</f>
        <v/>
      </c>
    </row>
    <row r="43">
      <c r="A43" t="inlineStr">
        <is>
          <t>SDP-Q-44120 (V1)</t>
        </is>
      </c>
      <c r="B43" t="inlineStr">
        <is>
          <t>SDP-Q-44120</t>
        </is>
      </c>
      <c r="C43" t="inlineStr">
        <is>
          <t>V1</t>
        </is>
      </c>
      <c r="E43" s="24" t="n">
        <v>207656</v>
      </c>
      <c r="F43" s="24" t="n">
        <v>249187.2</v>
      </c>
      <c r="G43">
        <f>IF(E43&gt;F43,"NET &gt; GROSS — withheld on screen","ok")</f>
        <v/>
      </c>
    </row>
    <row r="44">
      <c r="A44" t="inlineStr">
        <is>
          <t>SDP-Q-44120 (V2)</t>
        </is>
      </c>
      <c r="B44" t="inlineStr">
        <is>
          <t>SDP-Q-44120</t>
        </is>
      </c>
      <c r="C44" t="inlineStr">
        <is>
          <t>V2</t>
        </is>
      </c>
      <c r="E44" s="24" t="n">
        <v>202836</v>
      </c>
      <c r="F44" s="24" t="n">
        <v>243403.2</v>
      </c>
      <c r="G44">
        <f>IF(E44&gt;F44,"NET &gt; GROSS — withheld on screen","ok")</f>
        <v/>
      </c>
    </row>
    <row r="45">
      <c r="A45" t="inlineStr">
        <is>
          <t>SDP-Q-44120 (V3 (BAFO))</t>
        </is>
      </c>
      <c r="B45" t="inlineStr">
        <is>
          <t>SDP-Q-44120</t>
        </is>
      </c>
      <c r="C45" t="inlineStr">
        <is>
          <t>V3</t>
        </is>
      </c>
      <c r="E45" s="24" t="n">
        <v>199806</v>
      </c>
      <c r="F45" s="24" t="n">
        <v>239767.2</v>
      </c>
      <c r="G45">
        <f>IF(E45&gt;F45,"NET &gt; GROSS — withheld on screen","ok")</f>
        <v/>
      </c>
    </row>
    <row r="46">
      <c r="A46" t="inlineStr">
        <is>
          <t>SYN-MSA-3320</t>
        </is>
      </c>
      <c r="B46" t="inlineStr">
        <is>
          <t>SYN-MSA-3320</t>
        </is>
      </c>
      <c r="C46" t="inlineStr">
        <is>
          <t>V1</t>
        </is>
      </c>
      <c r="D46" t="inlineStr">
        <is>
          <t>SUP-SynapseItServicesLtd</t>
        </is>
      </c>
      <c r="E46" s="24" t="n">
        <v>1259640</v>
      </c>
      <c r="F46" s="24" t="n">
        <v>1511568</v>
      </c>
      <c r="G46">
        <f>IF(E46&gt;F46,"NET &gt; GROSS — withheld on screen","ok")</f>
        <v/>
      </c>
    </row>
    <row r="47">
      <c r="A47" t="inlineStr">
        <is>
          <t>SYN-MSA-3320 (V2)</t>
        </is>
      </c>
      <c r="B47" t="inlineStr">
        <is>
          <t>SYN-MSA-3320</t>
        </is>
      </c>
      <c r="C47" t="inlineStr">
        <is>
          <t>V2</t>
        </is>
      </c>
      <c r="D47" t="inlineStr">
        <is>
          <t>SUP-SynapseItServicesLtd</t>
        </is>
      </c>
      <c r="E47" s="24" t="n">
        <v>1291640</v>
      </c>
      <c r="F47" s="24" t="n">
        <v>1549968</v>
      </c>
      <c r="G47">
        <f>IF(E47&gt;F47,"NET &gt; GROSS — withheld on screen","ok")</f>
        <v/>
      </c>
    </row>
    <row r="48">
      <c r="A48" t="inlineStr">
        <is>
          <t>VAP-2024-0091</t>
        </is>
      </c>
      <c r="B48" t="inlineStr">
        <is>
          <t>VAP-2024-0091</t>
        </is>
      </c>
      <c r="C48" t="inlineStr">
        <is>
          <t>V1</t>
        </is>
      </c>
      <c r="D48" t="inlineStr">
        <is>
          <t>SUP-VantageAdvisoryPartnersLlp</t>
        </is>
      </c>
      <c r="E48" s="24" t="n">
        <v>2030070.5</v>
      </c>
      <c r="F48" s="24" t="n">
        <v>2436084.6</v>
      </c>
      <c r="G48">
        <f>IF(E48&gt;F48,"NET &gt; GROSS — withheld on screen","ok")</f>
        <v/>
      </c>
    </row>
    <row r="49">
      <c r="A49" t="inlineStr">
        <is>
          <t>VAP-2024-0091 (V2)</t>
        </is>
      </c>
      <c r="B49" t="inlineStr">
        <is>
          <t>VAP-2024-0091</t>
        </is>
      </c>
      <c r="C49" t="inlineStr">
        <is>
          <t>V2</t>
        </is>
      </c>
      <c r="D49" t="inlineStr">
        <is>
          <t>SUP-VantageAdvisoryPartnersLlp</t>
        </is>
      </c>
      <c r="E49" s="24" t="n">
        <v>2147402</v>
      </c>
      <c r="F49" s="24" t="n">
        <v>2576882.4</v>
      </c>
      <c r="G49">
        <f>IF(E49&gt;F49,"NET &gt; GROSS — withheld on screen","ok")</f>
        <v/>
      </c>
    </row>
    <row r="50">
      <c r="A50" t="inlineStr">
        <is>
          <t>WSG100024</t>
        </is>
      </c>
      <c r="B50" t="inlineStr">
        <is>
          <t>WSG100024</t>
        </is>
      </c>
      <c r="C50" t="inlineStr">
        <is>
          <t>V1</t>
        </is>
      </c>
      <c r="D50" t="inlineStr">
        <is>
          <t>SUP-DellWorkspaceSolutionsLtd</t>
        </is>
      </c>
      <c r="E50" s="24" t="n">
        <v>111975</v>
      </c>
      <c r="F50" s="24" t="n">
        <v>134370</v>
      </c>
      <c r="G50">
        <f>IF(E50&gt;F50,"NET &gt; GROSS — withheld on screen","ok")</f>
        <v/>
      </c>
    </row>
    <row r="51">
      <c r="A51" t="inlineStr">
        <is>
          <t>WSG100025</t>
        </is>
      </c>
      <c r="B51" t="inlineStr">
        <is>
          <t>WSG100025</t>
        </is>
      </c>
      <c r="C51" t="inlineStr">
        <is>
          <t>V1</t>
        </is>
      </c>
      <c r="D51" t="inlineStr">
        <is>
          <t>SUP-DellWorkspaceSolutionsLtd</t>
        </is>
      </c>
      <c r="E51" s="24" t="n">
        <v>111975</v>
      </c>
      <c r="F51" s="24" t="n">
        <v>134370</v>
      </c>
      <c r="G51">
        <f>IF(E51&gt;F51,"NET &gt; GROSS — withheld on screen","ok")</f>
        <v/>
      </c>
    </row>
    <row r="53">
      <c r="A53" s="3" t="inlineStr">
        <is>
          <t>Every record added together (the old behaviour)</t>
        </is>
      </c>
      <c r="C53" s="3" t="n">
        <v>45</v>
      </c>
      <c r="E53" s="37" t="n">
        <v>35443342.41</v>
      </c>
    </row>
    <row r="54">
      <c r="A54" s="3" t="inlineStr">
        <is>
          <t>Latest revision of each quote</t>
        </is>
      </c>
      <c r="C54" s="3" t="n">
        <v>29</v>
      </c>
      <c r="E54" s="38" t="n">
        <v>16951987.41</v>
      </c>
    </row>
    <row r="55">
      <c r="A55" s="3" t="inlineStr">
        <is>
          <t>…excluding the withheld record — what the screen shows</t>
        </is>
      </c>
      <c r="C55" s="3" t="n">
        <v>29</v>
      </c>
      <c r="E55" s="33" t="n">
        <v>13616396.41</v>
      </c>
    </row>
  </sheetData>
  <mergeCells count="1">
    <mergeCell ref="A2:G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8"/>
  <sheetViews>
    <sheetView workbookViewId="0">
      <pane ySplit="5" topLeftCell="A6" activePane="bottomLeft" state="frozen"/>
      <selection pane="bottomLeft" activeCell="A1" sqref="A1"/>
    </sheetView>
  </sheetViews>
  <sheetFormatPr baseColWidth="8" defaultRowHeight="15"/>
  <cols>
    <col width="26" customWidth="1" min="1" max="1"/>
    <col width="32" customWidth="1" min="2" max="2"/>
    <col width="28" customWidth="1" min="3" max="3"/>
    <col width="10" customWidth="1" min="4" max="4"/>
    <col width="8" customWidth="1" min="5" max="5"/>
    <col width="10" customWidth="1" min="6" max="6"/>
    <col width="17" customWidth="1" min="7" max="7"/>
    <col width="17" customWidth="1" min="8" max="8"/>
    <col width="17" customWidth="1" min="9" max="9"/>
  </cols>
  <sheetData>
    <row r="1">
      <c r="A1" s="7" t="inlineStr">
        <is>
          <t>Deal roll-ups, and the spend that reaches no deal</t>
        </is>
      </c>
    </row>
    <row r="2">
      <c r="A2" s="8" t="inlineStr">
        <is>
          <t>Deal totals against the invoices behind them. The reconciliation at the bottom accounts for every invoice, including those on no tracked deal at all.</t>
        </is>
      </c>
    </row>
    <row r="3"/>
    <row r="6" ht="32" customHeight="1">
      <c r="A6" s="9" t="inlineStr">
        <is>
          <t>Deal</t>
        </is>
      </c>
      <c r="B6" s="9" t="inlineStr">
        <is>
          <t>Name</t>
        </is>
      </c>
      <c r="C6" s="9" t="inlineStr">
        <is>
          <t>Supplier</t>
        </is>
      </c>
      <c r="D6" s="9" t="inlineStr">
        <is>
          <t>Quotes</t>
        </is>
      </c>
      <c r="E6" s="9" t="inlineStr">
        <is>
          <t>POs</t>
        </is>
      </c>
      <c r="F6" s="9" t="inlineStr">
        <is>
          <t>Invoices</t>
        </is>
      </c>
      <c r="G6" s="9" t="inlineStr">
        <is>
          <t>Quote total</t>
        </is>
      </c>
      <c r="H6" s="9" t="inlineStr">
        <is>
          <t>PO total</t>
        </is>
      </c>
      <c r="I6" s="9" t="inlineStr">
        <is>
          <t>Invoice total</t>
        </is>
      </c>
    </row>
    <row r="7">
      <c r="A7" s="26" t="inlineStr">
        <is>
          <t>ANALYSISSET_19072620260719339</t>
        </is>
      </c>
      <c r="B7" s="26" t="inlineStr">
        <is>
          <t>Analysis Set_190726  (draft — not on Pipeline)</t>
        </is>
      </c>
      <c r="C7" s="26" t="inlineStr">
        <is>
          <t>Synapse IT Services Ltd</t>
        </is>
      </c>
      <c r="D7" s="26" t="n">
        <v>28</v>
      </c>
      <c r="E7" s="26" t="n">
        <v>5</v>
      </c>
      <c r="F7" s="26" t="n">
        <v>7</v>
      </c>
      <c r="G7" s="39" t="n">
        <v>34840800.5</v>
      </c>
      <c r="H7" s="39" t="n">
        <v>6551667.7</v>
      </c>
      <c r="I7" s="39" t="n">
        <v>1634549.82</v>
      </c>
    </row>
    <row r="8">
      <c r="A8" t="inlineStr">
        <is>
          <t>AQUARIUSSET-1E2E20260716237</t>
        </is>
      </c>
      <c r="B8" t="inlineStr">
        <is>
          <t>Aquarius set-1 E2E</t>
        </is>
      </c>
      <c r="C8" t="inlineStr">
        <is>
          <t>Aquarius Marketing Ltd</t>
        </is>
      </c>
      <c r="D8" t="n">
        <v>1</v>
      </c>
      <c r="E8" t="n">
        <v>1</v>
      </c>
      <c r="F8" t="n">
        <v>3</v>
      </c>
      <c r="G8" s="24" t="n">
        <v>60000</v>
      </c>
      <c r="H8" s="24" t="n">
        <v>60000</v>
      </c>
      <c r="I8" s="24" t="n">
        <v>15000</v>
      </c>
    </row>
    <row r="9">
      <c r="A9" t="inlineStr">
        <is>
          <t>DEALV2-5206556</t>
        </is>
      </c>
      <c r="B9" t="inlineStr">
        <is>
          <t>PeopleFirst HR Solutions Ltd — PO 5206556</t>
        </is>
      </c>
      <c r="C9" t="inlineStr">
        <is>
          <t>PeopleFirst HR Solutions Ltd</t>
        </is>
      </c>
      <c r="D9" t="n">
        <v>1</v>
      </c>
      <c r="E9" t="n">
        <v>1</v>
      </c>
      <c r="F9" t="n">
        <v>1</v>
      </c>
      <c r="G9" s="24" t="n">
        <v>100000</v>
      </c>
      <c r="H9" s="24" t="n">
        <v>100000</v>
      </c>
      <c r="I9" s="24" t="n">
        <v>100000</v>
      </c>
    </row>
    <row r="10">
      <c r="A10" t="inlineStr">
        <is>
          <t>DESIGNHOUSEAGENCYSET-3E2E20260716249</t>
        </is>
      </c>
      <c r="B10" t="inlineStr">
        <is>
          <t>Design House Agency set-3 E2E</t>
        </is>
      </c>
      <c r="C10" t="inlineStr">
        <is>
          <t>Design House Agency</t>
        </is>
      </c>
      <c r="D10" t="n">
        <v>1</v>
      </c>
      <c r="E10" t="n">
        <v>1</v>
      </c>
      <c r="F10" t="n">
        <v>3</v>
      </c>
      <c r="G10" s="24" t="n">
        <v>6000</v>
      </c>
      <c r="H10" s="24" t="n">
        <v>6000</v>
      </c>
      <c r="I10" s="24" t="n">
        <v>6000</v>
      </c>
    </row>
    <row r="11">
      <c r="A11" t="inlineStr">
        <is>
          <t>DIXON,REYNOLDSETCSET-4E2E20260716254</t>
        </is>
      </c>
      <c r="B11" t="inlineStr">
        <is>
          <t>Dixon, Reynolds Etc set-4 E2E</t>
        </is>
      </c>
      <c r="C11" t="inlineStr">
        <is>
          <t>Dixon, Reynolds and Solomon</t>
        </is>
      </c>
      <c r="D11" t="n">
        <v>1</v>
      </c>
      <c r="E11" t="n">
        <v>1</v>
      </c>
      <c r="F11" t="n">
        <v>1</v>
      </c>
      <c r="G11" s="24" t="n">
        <v>1318.4</v>
      </c>
      <c r="H11" s="24" t="n">
        <v>1318.4</v>
      </c>
      <c r="I11" s="24" t="n">
        <v>1318.4</v>
      </c>
    </row>
    <row r="12">
      <c r="A12" t="inlineStr">
        <is>
          <t>DIXON,REYNOLDSETCSET-5E2E20260716257</t>
        </is>
      </c>
      <c r="B12" t="inlineStr">
        <is>
          <t>Dixon, Reynolds Etc set-5 E2E</t>
        </is>
      </c>
      <c r="C12" t="inlineStr">
        <is>
          <t>Dixon, Reynolds and Solomon</t>
        </is>
      </c>
      <c r="D12" t="n">
        <v>1</v>
      </c>
      <c r="E12" t="n">
        <v>1</v>
      </c>
      <c r="F12" t="n">
        <v>1</v>
      </c>
      <c r="G12" s="24" t="n">
        <v>638.6</v>
      </c>
      <c r="H12" s="24" t="n">
        <v>638.6</v>
      </c>
      <c r="I12" s="24" t="n">
        <v>638.6</v>
      </c>
    </row>
    <row r="13">
      <c r="A13" t="inlineStr">
        <is>
          <t>DUNCANSET-6E2E20260716260</t>
        </is>
      </c>
      <c r="B13" t="inlineStr">
        <is>
          <t>Duncan set-6 E2E</t>
        </is>
      </c>
      <c r="C13" t="inlineStr">
        <is>
          <t>Duncan LLC</t>
        </is>
      </c>
      <c r="D13" t="n">
        <v>1</v>
      </c>
      <c r="E13" t="n">
        <v>1</v>
      </c>
      <c r="F13" t="n">
        <v>2</v>
      </c>
      <c r="G13" s="24" t="n">
        <v>2131.05</v>
      </c>
      <c r="H13" s="24" t="n">
        <v>2131.05</v>
      </c>
      <c r="I13" s="24" t="n">
        <v>4530.75</v>
      </c>
    </row>
    <row r="14">
      <c r="A14" t="inlineStr">
        <is>
          <t>ELEANORPRICESET-7E2E20260716264</t>
        </is>
      </c>
      <c r="B14" t="inlineStr">
        <is>
          <t>Eleanor Price set-7 E2E</t>
        </is>
      </c>
      <c r="C14" t="inlineStr">
        <is>
          <t>Eleanor Price Creative Studio</t>
        </is>
      </c>
      <c r="D14" t="n">
        <v>1</v>
      </c>
      <c r="E14" t="n">
        <v>1</v>
      </c>
      <c r="F14" t="n">
        <v>3</v>
      </c>
      <c r="G14" s="24" t="n">
        <v>3600</v>
      </c>
      <c r="H14" s="24" t="n">
        <v>3600</v>
      </c>
      <c r="I14" s="24" t="n">
        <v>3600</v>
      </c>
    </row>
    <row r="15">
      <c r="A15" t="inlineStr">
        <is>
          <t>GOMEZ,GOODETC5SET-10E2E20260716275</t>
        </is>
      </c>
      <c r="B15" t="inlineStr">
        <is>
          <t>Gomez, Good Etc5 set-10 E2E</t>
        </is>
      </c>
      <c r="C15" t="inlineStr">
        <is>
          <t>Gomez, Good and Cross Trading Ltd</t>
        </is>
      </c>
      <c r="D15" t="n">
        <v>1</v>
      </c>
      <c r="E15" t="n">
        <v>1</v>
      </c>
      <c r="F15" t="n">
        <v>1</v>
      </c>
      <c r="G15" s="24" t="n">
        <v>1169.58</v>
      </c>
      <c r="H15" s="24" t="n">
        <v>1169.58</v>
      </c>
      <c r="I15" s="24" t="n">
        <v>1169.58</v>
      </c>
    </row>
    <row r="16">
      <c r="A16" t="inlineStr">
        <is>
          <t>GOMEZ,GOODETC5SET-9E2E20260716272</t>
        </is>
      </c>
      <c r="B16" t="inlineStr">
        <is>
          <t>Gomez, Good Etc5 set-9 E2E</t>
        </is>
      </c>
      <c r="C16" t="inlineStr">
        <is>
          <t>Gomez, Good and Cross Trading Ltd</t>
        </is>
      </c>
      <c r="D16" t="n">
        <v>1</v>
      </c>
      <c r="E16" t="n">
        <v>1</v>
      </c>
      <c r="F16" t="n">
        <v>1</v>
      </c>
      <c r="G16" s="24" t="n">
        <v>1150.46</v>
      </c>
      <c r="H16" s="24" t="n">
        <v>1150.46</v>
      </c>
      <c r="I16" s="24" t="n">
        <v>1150.46</v>
      </c>
    </row>
    <row r="17">
      <c r="A17" t="inlineStr">
        <is>
          <t>GOMEZ,GOODETCSET-8E2E20260716269</t>
        </is>
      </c>
      <c r="B17" t="inlineStr">
        <is>
          <t>Gomez, Good Etc set-8 E2E</t>
        </is>
      </c>
      <c r="C17" t="inlineStr">
        <is>
          <t>Gomez, Good and Cross Trading Ltd</t>
        </is>
      </c>
      <c r="D17" t="n">
        <v>1</v>
      </c>
      <c r="E17" t="n">
        <v>1</v>
      </c>
      <c r="F17" t="n">
        <v>1</v>
      </c>
      <c r="G17" s="24" t="n">
        <v>647.17</v>
      </c>
      <c r="H17" s="24" t="n">
        <v>647.17</v>
      </c>
      <c r="I17" s="24" t="n">
        <v>647.17</v>
      </c>
    </row>
    <row r="18">
      <c r="A18" t="inlineStr">
        <is>
          <t>INFOTECHSET-11E2E20260716278</t>
        </is>
      </c>
      <c r="B18" t="inlineStr">
        <is>
          <t>Infotech set-11 E2E</t>
        </is>
      </c>
      <c r="C18" t="inlineStr">
        <is>
          <t>InfoTech Consulting</t>
        </is>
      </c>
      <c r="D18" t="n">
        <v>1</v>
      </c>
      <c r="E18" t="n">
        <v>1</v>
      </c>
      <c r="F18" t="n">
        <v>2</v>
      </c>
      <c r="G18" s="24" t="n">
        <v>7200</v>
      </c>
      <c r="H18" s="24" t="n">
        <v>7200</v>
      </c>
      <c r="I18" s="24" t="n">
        <v>2400</v>
      </c>
    </row>
    <row r="19">
      <c r="A19" t="inlineStr">
        <is>
          <t>NEWPORTSET-2E2E20260716244</t>
        </is>
      </c>
      <c r="B19" t="inlineStr">
        <is>
          <t>Newport set-2 E2E</t>
        </is>
      </c>
      <c r="C19" t="inlineStr">
        <is>
          <t>City of Newport</t>
        </is>
      </c>
      <c r="D19" t="n">
        <v>1</v>
      </c>
      <c r="E19" t="n">
        <v>1</v>
      </c>
      <c r="F19" t="n">
        <v>3</v>
      </c>
      <c r="G19" s="24" t="n">
        <v>100000</v>
      </c>
      <c r="H19" s="24" t="n">
        <v>100000</v>
      </c>
      <c r="I19" s="24" t="n">
        <v>24999</v>
      </c>
    </row>
    <row r="20">
      <c r="A20" t="inlineStr">
        <is>
          <t>NEXASPARKSET-12E2E20260716282</t>
        </is>
      </c>
      <c r="B20" t="inlineStr">
        <is>
          <t>Nexaspark set-12 E2E</t>
        </is>
      </c>
      <c r="C20" t="inlineStr">
        <is>
          <t>NexaSpark Marketing Ltd</t>
        </is>
      </c>
      <c r="D20" t="n">
        <v>1</v>
      </c>
      <c r="E20" t="n">
        <v>1</v>
      </c>
      <c r="F20" t="n">
        <v>2</v>
      </c>
      <c r="G20" s="24" t="n">
        <v>25000</v>
      </c>
      <c r="H20" s="24" t="n">
        <v>25000</v>
      </c>
      <c r="I20" s="24" t="n">
        <v>25000</v>
      </c>
    </row>
    <row r="21">
      <c r="A21" t="inlineStr">
        <is>
          <t>PERRYSET-13E2E20260716286</t>
        </is>
      </c>
      <c r="B21" t="inlineStr">
        <is>
          <t>Perry set-13 E2E</t>
        </is>
      </c>
      <c r="C21" t="inlineStr">
        <is>
          <t>Perry Ltd</t>
        </is>
      </c>
      <c r="D21" t="n">
        <v>1</v>
      </c>
      <c r="E21" t="n">
        <v>1</v>
      </c>
      <c r="F21" t="n">
        <v>1</v>
      </c>
      <c r="G21" s="24" t="n">
        <v>2826.65</v>
      </c>
      <c r="H21" s="24" t="n">
        <v>2826.65</v>
      </c>
      <c r="I21" s="24" t="n">
        <v>2826.65</v>
      </c>
    </row>
    <row r="22">
      <c r="A22" s="3" t="inlineStr">
        <is>
          <t>All deals (incl. drafts)</t>
        </is>
      </c>
      <c r="D22" s="31">
        <f>SUM(D7:D21)</f>
        <v/>
      </c>
      <c r="E22" s="31">
        <f>SUM(E7:E21)</f>
        <v/>
      </c>
      <c r="F22" s="31">
        <f>SUM(F7:F21)</f>
        <v/>
      </c>
      <c r="G22" s="29">
        <f>SUM(G7:G21)</f>
        <v/>
      </c>
      <c r="H22" s="29">
        <f>SUM(H7:H21)</f>
        <v/>
      </c>
      <c r="I22" s="29">
        <f>SUM(I7:I21)</f>
        <v/>
      </c>
    </row>
    <row r="24">
      <c r="A24" s="28" t="inlineStr">
        <is>
          <t>What the Pipeline screen covers</t>
        </is>
      </c>
    </row>
    <row r="25">
      <c r="A25" t="inlineStr">
        <is>
          <t>Deals listed on Pipeline</t>
        </is>
      </c>
      <c r="B25" s="40" t="n">
        <v>14</v>
      </c>
      <c r="C25" s="17" t="inlineStr">
        <is>
          <t>Tracked deals only</t>
        </is>
      </c>
    </row>
    <row r="26">
      <c r="A26" t="inlineStr">
        <is>
          <t>Invoices reaching no tracked deal</t>
        </is>
      </c>
      <c r="B26" s="40" t="n">
        <v>26</v>
      </c>
      <c r="C26" s="17" t="inlineStr">
        <is>
          <t>out of 51</t>
        </is>
      </c>
    </row>
    <row r="27">
      <c r="A27" t="inlineStr">
        <is>
          <t>…their converted spend</t>
        </is>
      </c>
      <c r="B27" s="39" t="n">
        <v>2279817.49</v>
      </c>
      <c r="C27" s="17" t="inlineStr">
        <is>
          <t>Now stated on the screen rather than omitted</t>
        </is>
      </c>
    </row>
    <row r="28">
      <c r="A28" t="inlineStr">
        <is>
          <t>Why so large</t>
        </is>
      </c>
      <c r="C28" s="17" t="inlineStr">
        <is>
          <t>The single biggest deal is an uncommitted draft, so it and its invoices sit outside the Pipeline</t>
        </is>
      </c>
    </row>
  </sheetData>
  <mergeCells count="1">
    <mergeCell ref="A2:I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5"/>
  <sheetViews>
    <sheetView workbookViewId="0">
      <pane ySplit="5" topLeftCell="A6" activePane="bottomLeft" state="frozen"/>
      <selection pane="bottomLeft" activeCell="A1" sqref="A1"/>
    </sheetView>
  </sheetViews>
  <sheetFormatPr baseColWidth="8" defaultRowHeight="15"/>
  <cols>
    <col width="24" customWidth="1" min="1" max="1"/>
    <col width="18" customWidth="1" min="2" max="2"/>
    <col width="86" customWidth="1" min="3" max="3"/>
  </cols>
  <sheetData>
    <row r="1">
      <c r="A1" s="7" t="inlineStr">
        <is>
          <t>Which screens are backed by real data</t>
        </is>
      </c>
    </row>
    <row r="2">
      <c r="A2" s="8" t="inlineStr">
        <is>
          <t>From the product's own coverage map. Screens marked 'Examples only' show content that came from no uploaded document — worth knowing before a customer sees them.</t>
        </is>
      </c>
    </row>
    <row r="3"/>
    <row r="6" ht="32" customHeight="1">
      <c r="A6" s="9" t="inlineStr">
        <is>
          <t>Screen</t>
        </is>
      </c>
      <c r="B6" s="9" t="inlineStr">
        <is>
          <t>Status</t>
        </is>
      </c>
      <c r="C6" s="9" t="inlineStr">
        <is>
          <t>What that means</t>
        </is>
      </c>
    </row>
    <row r="7">
      <c r="A7" s="10" t="inlineStr">
        <is>
          <t>Dashboard</t>
        </is>
      </c>
      <c r="B7" s="41" t="inlineStr">
        <is>
          <t>Real data</t>
        </is>
      </c>
      <c r="C7" s="11" t="inlineStr">
        <is>
          <t>Spend, counts and the monthly chart from extracted documents. Verified on the 'On screen' sheet.</t>
        </is>
      </c>
    </row>
    <row r="8">
      <c r="A8" s="10" t="inlineStr">
        <is>
          <t>Analyse</t>
        </is>
      </c>
      <c r="B8" s="41" t="inlineStr">
        <is>
          <t>Real data</t>
        </is>
      </c>
      <c r="C8" s="11" t="inlineStr">
        <is>
          <t>Same source as the Dashboard. Its spend chart is range-limited — see Findings.</t>
        </is>
      </c>
    </row>
    <row r="9">
      <c r="A9" s="10" t="inlineStr">
        <is>
          <t>Pipeline</t>
        </is>
      </c>
      <c r="B9" s="41" t="inlineStr">
        <is>
          <t>Real data</t>
        </is>
      </c>
      <c r="C9" s="11" t="inlineStr">
        <is>
          <t>14 tracked deals, plus an explicit line for spend on no tracked deal.</t>
        </is>
      </c>
    </row>
    <row r="10">
      <c r="A10" s="10" t="inlineStr">
        <is>
          <t>Quotes</t>
        </is>
      </c>
      <c r="B10" s="41" t="inlineStr">
        <is>
          <t>Real data</t>
        </is>
      </c>
      <c r="C10" s="11" t="inlineStr">
        <is>
          <t>Every quote record, with totals counted once per quote.</t>
        </is>
      </c>
    </row>
    <row r="11">
      <c r="A11" s="10" t="inlineStr">
        <is>
          <t>Invoices</t>
        </is>
      </c>
      <c r="B11" s="41" t="inlineStr">
        <is>
          <t>Real data</t>
        </is>
      </c>
      <c r="C11" s="11" t="inlineStr">
        <is>
          <t>Invoice records as extracted.</t>
        </is>
      </c>
    </row>
    <row r="12">
      <c r="A12" s="10" t="inlineStr">
        <is>
          <t>Purchase orders</t>
        </is>
      </c>
      <c r="B12" s="41" t="inlineStr">
        <is>
          <t>Real data</t>
        </is>
      </c>
      <c r="C12" s="11" t="inlineStr">
        <is>
          <t>PO records as extracted.</t>
        </is>
      </c>
    </row>
    <row r="13">
      <c r="A13" s="10" t="inlineStr">
        <is>
          <t>Suppliers</t>
        </is>
      </c>
      <c r="B13" s="41" t="inlineStr">
        <is>
          <t>Real data</t>
        </is>
      </c>
      <c r="C13" s="11" t="inlineStr">
        <is>
          <t>Supplier master plus invoiced spend matched to a named supplier.</t>
        </is>
      </c>
    </row>
    <row r="14">
      <c r="A14" s="10" t="inlineStr">
        <is>
          <t>Discrepancies</t>
        </is>
      </c>
      <c r="B14" s="41" t="inlineStr">
        <is>
          <t>Real data</t>
        </is>
      </c>
      <c r="C14" s="11" t="inlineStr">
        <is>
          <t>1077 findings raised against extracted documents.</t>
        </is>
      </c>
    </row>
    <row r="15">
      <c r="A15" s="10" t="inlineStr">
        <is>
          <t>Audit logs</t>
        </is>
      </c>
      <c r="B15" s="41" t="inlineStr">
        <is>
          <t>Real data</t>
        </is>
      </c>
      <c r="C15" s="11" t="inlineStr">
        <is>
          <t>The agent event log.</t>
        </is>
      </c>
    </row>
    <row r="16">
      <c r="A16" s="10" t="inlineStr">
        <is>
          <t>Alerts</t>
        </is>
      </c>
      <c r="B16" s="41" t="inlineStr">
        <is>
          <t>Real data</t>
        </is>
      </c>
      <c r="C16" s="11" t="inlineStr">
        <is>
          <t>Derived from recent agent events.</t>
        </is>
      </c>
    </row>
    <row r="17">
      <c r="A17" s="10" t="inlineStr">
        <is>
          <t>Compliance</t>
        </is>
      </c>
      <c r="B17" s="41" t="inlineStr">
        <is>
          <t>Real data</t>
        </is>
      </c>
      <c r="C17" s="11" t="inlineStr">
        <is>
          <t>Portfolio compliance findings.</t>
        </is>
      </c>
    </row>
    <row r="18">
      <c r="A18" s="10" t="inlineStr">
        <is>
          <t>Agent workspace</t>
        </is>
      </c>
      <c r="B18" s="41" t="inlineStr">
        <is>
          <t>Real data</t>
        </is>
      </c>
      <c r="C18" s="11" t="inlineStr">
        <is>
          <t>The agent catalogue; saved graphs persist.</t>
        </is>
      </c>
    </row>
    <row r="19">
      <c r="A19" s="10" t="inlineStr">
        <is>
          <t>Admin</t>
        </is>
      </c>
      <c r="B19" s="41" t="inlineStr">
        <is>
          <t>Real data</t>
        </is>
      </c>
      <c r="C19" s="11" t="inlineStr">
        <is>
          <t>Authority bands and cycle phases; edits persist.</t>
        </is>
      </c>
    </row>
    <row r="20">
      <c r="A20" s="10" t="inlineStr">
        <is>
          <t>Negotiations</t>
        </is>
      </c>
      <c r="B20" s="42" t="inlineStr">
        <is>
          <t>Real, but empty</t>
        </is>
      </c>
      <c r="C20" s="11" t="inlineStr">
        <is>
          <t>Reads real records; there are none yet.</t>
        </is>
      </c>
    </row>
    <row r="21">
      <c r="A21" s="10" t="inlineStr">
        <is>
          <t>Obligations</t>
        </is>
      </c>
      <c r="B21" s="42" t="inlineStr">
        <is>
          <t>Real, but empty</t>
        </is>
      </c>
      <c r="C21" s="11" t="inlineStr">
        <is>
          <t>Reads contract wording. No contracts uploaded, so it stays empty by design.</t>
        </is>
      </c>
    </row>
    <row r="22">
      <c r="A22" s="10" t="inlineStr">
        <is>
          <t>Report builder</t>
        </is>
      </c>
      <c r="B22" s="42" t="inlineStr">
        <is>
          <t>Part real</t>
        </is>
      </c>
      <c r="C22" s="11" t="inlineStr">
        <is>
          <t>Saved reports are real; the composer's KPI and chart content is illustrative.</t>
        </is>
      </c>
    </row>
    <row r="23">
      <c r="A23" s="10" t="inlineStr">
        <is>
          <t>Requirements</t>
        </is>
      </c>
      <c r="B23" s="42" t="inlineStr">
        <is>
          <t>Part real</t>
        </is>
      </c>
      <c r="C23" s="11" t="inlineStr">
        <is>
          <t>Requirements you create are saved. The shipped examples are demo and the Q&amp;A is scripted.</t>
        </is>
      </c>
    </row>
    <row r="24">
      <c r="A24" s="10" t="inlineStr">
        <is>
          <t>Demand intake</t>
        </is>
      </c>
      <c r="B24" s="43" t="inlineStr">
        <is>
          <t>Examples only</t>
        </is>
      </c>
      <c r="C24" s="11" t="inlineStr">
        <is>
          <t>The 5 demands shown came from no uploaded document.</t>
        </is>
      </c>
    </row>
    <row r="25">
      <c r="A25" s="10" t="inlineStr">
        <is>
          <t>Third-party risk</t>
        </is>
      </c>
      <c r="B25" s="43" t="inlineStr">
        <is>
          <t>Examples only</t>
        </is>
      </c>
      <c r="C25" s="11" t="inlineStr">
        <is>
          <t>The risk profiles are examples, not assessments of real suppliers.</t>
        </is>
      </c>
    </row>
  </sheetData>
  <mergeCells count="1">
    <mergeCell ref="A2: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2026-07-28T13:14:45Z</dcterms:created>
  <dcterms:modified xmlns:dcterms="http://purl.org/dc/terms/" xmlns:xsi="http://www.w3.org/2001/XMLSchema-instance" xsi:type="dcterms:W3CDTF">2026-07-28T13:14:45Z</dcterms:modified>
</cp:coreProperties>
</file>