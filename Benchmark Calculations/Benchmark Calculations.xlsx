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C:\Users\NicholasGeelen\Documents\Procwise\Development\Statistic Models\"/>
    </mc:Choice>
  </mc:AlternateContent>
  <xr:revisionPtr revIDLastSave="0" documentId="8_{DEAD43AD-8E68-4C6A-BC58-BD837A0C3C32}" xr6:coauthVersionLast="47" xr6:coauthVersionMax="47" xr10:uidLastSave="{00000000-0000-0000-0000-000000000000}"/>
  <bookViews>
    <workbookView xWindow="-110" yWindow="-110" windowWidth="19420" windowHeight="10300" tabRatio="500" firstSheet="1" activeTab="1" xr2:uid="{00000000-000D-0000-FFFF-FFFF00000000}"/>
  </bookViews>
  <sheets>
    <sheet name="GUIDE – Start Here" sheetId="1" r:id="rId1"/>
    <sheet name="Change Log" sheetId="2" r:id="rId2"/>
    <sheet name="Benchmark Settings" sheetId="3" r:id="rId3"/>
    <sheet name="Location Index Table" sheetId="4" r:id="rId4"/>
    <sheet name="Index Table" sheetId="5" r:id="rId5"/>
    <sheet name="Internal Benchmark Data" sheetId="6" r:id="rId6"/>
    <sheet name="External DB Benchmark Extract" sheetId="7" r:id="rId7"/>
    <sheet name="Pricing Calculation" sheetId="8" r:id="rId8"/>
    <sheet name="Adjustment Formula Guide" sheetId="9" r:id="rId9"/>
    <sheet name="Formula Map" sheetId="10" r:id="rId10"/>
    <sheet name="Dashboard"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1" l="1"/>
  <c r="C3" i="11"/>
  <c r="AT9" i="8"/>
  <c r="AL9" i="8"/>
  <c r="AI9" i="8"/>
  <c r="AH9" i="8"/>
  <c r="AB9" i="8"/>
  <c r="AA9" i="8"/>
  <c r="Z9" i="8"/>
  <c r="Y9" i="8"/>
  <c r="X9" i="8"/>
  <c r="W9" i="8"/>
  <c r="AT8" i="8"/>
  <c r="AL8" i="8"/>
  <c r="AI8" i="8"/>
  <c r="AB8" i="8"/>
  <c r="AA8" i="8"/>
  <c r="Z8" i="8"/>
  <c r="X8" i="8"/>
  <c r="Y8" i="8" s="1"/>
  <c r="W8" i="8"/>
  <c r="AT7" i="8"/>
  <c r="AL7" i="8"/>
  <c r="AI7" i="8"/>
  <c r="AB7" i="8"/>
  <c r="AA7" i="8"/>
  <c r="Z7" i="8"/>
  <c r="X7" i="8"/>
  <c r="W7" i="8"/>
  <c r="Y7" i="8" s="1"/>
  <c r="AT6" i="8"/>
  <c r="AL6" i="8"/>
  <c r="AI6" i="8"/>
  <c r="AB6" i="8"/>
  <c r="AA6" i="8"/>
  <c r="Z6" i="8"/>
  <c r="X6" i="8"/>
  <c r="Y6" i="8" s="1"/>
  <c r="W6" i="8"/>
  <c r="AT5" i="8"/>
  <c r="AL5" i="8"/>
  <c r="AI5" i="8"/>
  <c r="AB5" i="8"/>
  <c r="AA5" i="8"/>
  <c r="Z5" i="8"/>
  <c r="Y5" i="8"/>
  <c r="X5" i="8"/>
  <c r="C5" i="11" s="1"/>
  <c r="W5" i="8"/>
  <c r="O509" i="7"/>
  <c r="O508" i="7"/>
  <c r="O507" i="7"/>
  <c r="O506" i="7"/>
  <c r="O505" i="7"/>
  <c r="O504" i="7"/>
  <c r="O503" i="7"/>
  <c r="O502" i="7"/>
  <c r="O501" i="7"/>
  <c r="O500" i="7"/>
  <c r="O499" i="7"/>
  <c r="O498" i="7"/>
  <c r="O497" i="7"/>
  <c r="O496" i="7"/>
  <c r="O495" i="7"/>
  <c r="O494" i="7"/>
  <c r="O493" i="7"/>
  <c r="O492" i="7"/>
  <c r="O491" i="7"/>
  <c r="O490" i="7"/>
  <c r="O489" i="7"/>
  <c r="O488" i="7"/>
  <c r="O487" i="7"/>
  <c r="O486" i="7"/>
  <c r="O485" i="7"/>
  <c r="O484" i="7"/>
  <c r="O483" i="7"/>
  <c r="O482" i="7"/>
  <c r="O481" i="7"/>
  <c r="O480" i="7"/>
  <c r="O479" i="7"/>
  <c r="O478" i="7"/>
  <c r="O477" i="7"/>
  <c r="O476" i="7"/>
  <c r="O475" i="7"/>
  <c r="O474" i="7"/>
  <c r="O473" i="7"/>
  <c r="O472" i="7"/>
  <c r="O471" i="7"/>
  <c r="O470" i="7"/>
  <c r="O469" i="7"/>
  <c r="O468" i="7"/>
  <c r="O467" i="7"/>
  <c r="O466" i="7"/>
  <c r="O465" i="7"/>
  <c r="O464" i="7"/>
  <c r="O463" i="7"/>
  <c r="O462" i="7"/>
  <c r="O461" i="7"/>
  <c r="O460" i="7"/>
  <c r="O459" i="7"/>
  <c r="O458" i="7"/>
  <c r="O457" i="7"/>
  <c r="O456" i="7"/>
  <c r="O455" i="7"/>
  <c r="O454" i="7"/>
  <c r="O453" i="7"/>
  <c r="O452" i="7"/>
  <c r="O451" i="7"/>
  <c r="O450" i="7"/>
  <c r="O449" i="7"/>
  <c r="O448" i="7"/>
  <c r="O447" i="7"/>
  <c r="O446" i="7"/>
  <c r="O445" i="7"/>
  <c r="O444" i="7"/>
  <c r="O443" i="7"/>
  <c r="O442" i="7"/>
  <c r="O441" i="7"/>
  <c r="O440" i="7"/>
  <c r="O439" i="7"/>
  <c r="O438" i="7"/>
  <c r="O437" i="7"/>
  <c r="O436" i="7"/>
  <c r="O435" i="7"/>
  <c r="O434" i="7"/>
  <c r="O433" i="7"/>
  <c r="O432" i="7"/>
  <c r="O431" i="7"/>
  <c r="O430" i="7"/>
  <c r="O429" i="7"/>
  <c r="O428" i="7"/>
  <c r="O427" i="7"/>
  <c r="O426" i="7"/>
  <c r="O425" i="7"/>
  <c r="O424" i="7"/>
  <c r="O423" i="7"/>
  <c r="O422" i="7"/>
  <c r="O421" i="7"/>
  <c r="O420" i="7"/>
  <c r="O419" i="7"/>
  <c r="O418" i="7"/>
  <c r="O417" i="7"/>
  <c r="O416" i="7"/>
  <c r="O415" i="7"/>
  <c r="O414" i="7"/>
  <c r="O413" i="7"/>
  <c r="O412" i="7"/>
  <c r="O411" i="7"/>
  <c r="O410" i="7"/>
  <c r="O409" i="7"/>
  <c r="O408" i="7"/>
  <c r="O407" i="7"/>
  <c r="O406" i="7"/>
  <c r="O405" i="7"/>
  <c r="O404" i="7"/>
  <c r="O403" i="7"/>
  <c r="O402" i="7"/>
  <c r="O401" i="7"/>
  <c r="O400" i="7"/>
  <c r="O399" i="7"/>
  <c r="O398" i="7"/>
  <c r="O397" i="7"/>
  <c r="O396" i="7"/>
  <c r="O395" i="7"/>
  <c r="O394" i="7"/>
  <c r="O393" i="7"/>
  <c r="O392" i="7"/>
  <c r="O391" i="7"/>
  <c r="O390" i="7"/>
  <c r="O389" i="7"/>
  <c r="O388" i="7"/>
  <c r="O387" i="7"/>
  <c r="O386" i="7"/>
  <c r="O385" i="7"/>
  <c r="O384" i="7"/>
  <c r="O383" i="7"/>
  <c r="O382" i="7"/>
  <c r="O381" i="7"/>
  <c r="O380" i="7"/>
  <c r="O379" i="7"/>
  <c r="O378" i="7"/>
  <c r="O377" i="7"/>
  <c r="O376" i="7"/>
  <c r="O375" i="7"/>
  <c r="O374" i="7"/>
  <c r="O373" i="7"/>
  <c r="O372" i="7"/>
  <c r="O371" i="7"/>
  <c r="O370" i="7"/>
  <c r="O369" i="7"/>
  <c r="O368" i="7"/>
  <c r="O367" i="7"/>
  <c r="O366" i="7"/>
  <c r="O365" i="7"/>
  <c r="O364" i="7"/>
  <c r="O363" i="7"/>
  <c r="O362" i="7"/>
  <c r="O361" i="7"/>
  <c r="O360" i="7"/>
  <c r="O359" i="7"/>
  <c r="O358" i="7"/>
  <c r="O357" i="7"/>
  <c r="O356" i="7"/>
  <c r="O355" i="7"/>
  <c r="O354" i="7"/>
  <c r="O353" i="7"/>
  <c r="O352" i="7"/>
  <c r="O351" i="7"/>
  <c r="O350" i="7"/>
  <c r="O349" i="7"/>
  <c r="O348" i="7"/>
  <c r="O347" i="7"/>
  <c r="O346" i="7"/>
  <c r="O345" i="7"/>
  <c r="O344" i="7"/>
  <c r="O343" i="7"/>
  <c r="O342" i="7"/>
  <c r="O341" i="7"/>
  <c r="O340" i="7"/>
  <c r="O339" i="7"/>
  <c r="O338" i="7"/>
  <c r="O337" i="7"/>
  <c r="O336" i="7"/>
  <c r="O335" i="7"/>
  <c r="O334" i="7"/>
  <c r="O333" i="7"/>
  <c r="O332" i="7"/>
  <c r="O331" i="7"/>
  <c r="O330" i="7"/>
  <c r="O329" i="7"/>
  <c r="O328" i="7"/>
  <c r="O327" i="7"/>
  <c r="O326" i="7"/>
  <c r="O325" i="7"/>
  <c r="O324" i="7"/>
  <c r="O323" i="7"/>
  <c r="O322" i="7"/>
  <c r="O321" i="7"/>
  <c r="O320" i="7"/>
  <c r="O319" i="7"/>
  <c r="O318" i="7"/>
  <c r="O317" i="7"/>
  <c r="O316" i="7"/>
  <c r="O315" i="7"/>
  <c r="O314" i="7"/>
  <c r="O313" i="7"/>
  <c r="O312" i="7"/>
  <c r="O311" i="7"/>
  <c r="O310" i="7"/>
  <c r="O309" i="7"/>
  <c r="O308" i="7"/>
  <c r="O307" i="7"/>
  <c r="O306" i="7"/>
  <c r="O305" i="7"/>
  <c r="O304" i="7"/>
  <c r="O303" i="7"/>
  <c r="O302" i="7"/>
  <c r="O301" i="7"/>
  <c r="O300" i="7"/>
  <c r="O299" i="7"/>
  <c r="O298" i="7"/>
  <c r="O297" i="7"/>
  <c r="O296" i="7"/>
  <c r="O295" i="7"/>
  <c r="O294" i="7"/>
  <c r="O293" i="7"/>
  <c r="O292" i="7"/>
  <c r="O291" i="7"/>
  <c r="O290" i="7"/>
  <c r="O289" i="7"/>
  <c r="O288" i="7"/>
  <c r="O287" i="7"/>
  <c r="O286" i="7"/>
  <c r="O285" i="7"/>
  <c r="O284" i="7"/>
  <c r="O283" i="7"/>
  <c r="O282" i="7"/>
  <c r="O281" i="7"/>
  <c r="O280" i="7"/>
  <c r="O279" i="7"/>
  <c r="O278" i="7"/>
  <c r="O277" i="7"/>
  <c r="O276" i="7"/>
  <c r="O275" i="7"/>
  <c r="O274" i="7"/>
  <c r="O273" i="7"/>
  <c r="O272" i="7"/>
  <c r="O271" i="7"/>
  <c r="O270" i="7"/>
  <c r="O269" i="7"/>
  <c r="O268" i="7"/>
  <c r="O267" i="7"/>
  <c r="O266" i="7"/>
  <c r="O265" i="7"/>
  <c r="O264" i="7"/>
  <c r="O263" i="7"/>
  <c r="O262" i="7"/>
  <c r="O261" i="7"/>
  <c r="O260" i="7"/>
  <c r="O259" i="7"/>
  <c r="O258" i="7"/>
  <c r="O257" i="7"/>
  <c r="O256" i="7"/>
  <c r="O255" i="7"/>
  <c r="O254" i="7"/>
  <c r="O253" i="7"/>
  <c r="O252" i="7"/>
  <c r="O251" i="7"/>
  <c r="O250" i="7"/>
  <c r="O249" i="7"/>
  <c r="O248" i="7"/>
  <c r="O247" i="7"/>
  <c r="O246" i="7"/>
  <c r="O245" i="7"/>
  <c r="O244" i="7"/>
  <c r="O243" i="7"/>
  <c r="O242" i="7"/>
  <c r="O241" i="7"/>
  <c r="O240" i="7"/>
  <c r="O239" i="7"/>
  <c r="O238" i="7"/>
  <c r="O237" i="7"/>
  <c r="O236" i="7"/>
  <c r="O235" i="7"/>
  <c r="O234" i="7"/>
  <c r="O233" i="7"/>
  <c r="O232" i="7"/>
  <c r="O231" i="7"/>
  <c r="O230" i="7"/>
  <c r="O229" i="7"/>
  <c r="O228" i="7"/>
  <c r="O227" i="7"/>
  <c r="O226" i="7"/>
  <c r="O225" i="7"/>
  <c r="O224" i="7"/>
  <c r="O223" i="7"/>
  <c r="O222" i="7"/>
  <c r="O221" i="7"/>
  <c r="O220" i="7"/>
  <c r="O219" i="7"/>
  <c r="O218" i="7"/>
  <c r="O217" i="7"/>
  <c r="O216" i="7"/>
  <c r="O215" i="7"/>
  <c r="O214" i="7"/>
  <c r="O213" i="7"/>
  <c r="O212" i="7"/>
  <c r="O211" i="7"/>
  <c r="O210" i="7"/>
  <c r="O209" i="7"/>
  <c r="O208" i="7"/>
  <c r="O207" i="7"/>
  <c r="O206" i="7"/>
  <c r="O205" i="7"/>
  <c r="O204" i="7"/>
  <c r="O203" i="7"/>
  <c r="O202" i="7"/>
  <c r="O201" i="7"/>
  <c r="O200" i="7"/>
  <c r="O199" i="7"/>
  <c r="O198" i="7"/>
  <c r="O197" i="7"/>
  <c r="O196" i="7"/>
  <c r="O195" i="7"/>
  <c r="O194" i="7"/>
  <c r="O193" i="7"/>
  <c r="O192" i="7"/>
  <c r="O191" i="7"/>
  <c r="O190" i="7"/>
  <c r="O189" i="7"/>
  <c r="O188" i="7"/>
  <c r="O187" i="7"/>
  <c r="O186" i="7"/>
  <c r="O185" i="7"/>
  <c r="O184" i="7"/>
  <c r="O183" i="7"/>
  <c r="O182" i="7"/>
  <c r="O181" i="7"/>
  <c r="O180" i="7"/>
  <c r="O179" i="7"/>
  <c r="O178" i="7"/>
  <c r="O177" i="7"/>
  <c r="O176" i="7"/>
  <c r="O175" i="7"/>
  <c r="O174" i="7"/>
  <c r="O173" i="7"/>
  <c r="O172" i="7"/>
  <c r="O171" i="7"/>
  <c r="O170" i="7"/>
  <c r="O169" i="7"/>
  <c r="O168" i="7"/>
  <c r="O167" i="7"/>
  <c r="O166" i="7"/>
  <c r="O165" i="7"/>
  <c r="O164" i="7"/>
  <c r="O163" i="7"/>
  <c r="O162" i="7"/>
  <c r="O161" i="7"/>
  <c r="O160" i="7"/>
  <c r="O159" i="7"/>
  <c r="O158" i="7"/>
  <c r="O157" i="7"/>
  <c r="O156" i="7"/>
  <c r="O155" i="7"/>
  <c r="O154" i="7"/>
  <c r="O153" i="7"/>
  <c r="O152" i="7"/>
  <c r="O151" i="7"/>
  <c r="O150" i="7"/>
  <c r="O149" i="7"/>
  <c r="O148" i="7"/>
  <c r="O147" i="7"/>
  <c r="O146" i="7"/>
  <c r="O145" i="7"/>
  <c r="O144" i="7"/>
  <c r="O143" i="7"/>
  <c r="O142" i="7"/>
  <c r="O141" i="7"/>
  <c r="O140" i="7"/>
  <c r="O139" i="7"/>
  <c r="O138" i="7"/>
  <c r="O137" i="7"/>
  <c r="O136" i="7"/>
  <c r="O135" i="7"/>
  <c r="O134" i="7"/>
  <c r="O133" i="7"/>
  <c r="O132" i="7"/>
  <c r="O131" i="7"/>
  <c r="O130" i="7"/>
  <c r="O129" i="7"/>
  <c r="O128" i="7"/>
  <c r="O127" i="7"/>
  <c r="O126" i="7"/>
  <c r="O125" i="7"/>
  <c r="O124" i="7"/>
  <c r="O123" i="7"/>
  <c r="O122" i="7"/>
  <c r="O121" i="7"/>
  <c r="O120" i="7"/>
  <c r="O119" i="7"/>
  <c r="O118" i="7"/>
  <c r="O117" i="7"/>
  <c r="O116" i="7"/>
  <c r="O115" i="7"/>
  <c r="O114" i="7"/>
  <c r="O113" i="7"/>
  <c r="O112" i="7"/>
  <c r="O111" i="7"/>
  <c r="O110" i="7"/>
  <c r="O109" i="7"/>
  <c r="O108" i="7"/>
  <c r="O107" i="7"/>
  <c r="O106" i="7"/>
  <c r="O105" i="7"/>
  <c r="O104" i="7"/>
  <c r="O103" i="7"/>
  <c r="O102" i="7"/>
  <c r="O101" i="7"/>
  <c r="O100" i="7"/>
  <c r="O99" i="7"/>
  <c r="O98" i="7"/>
  <c r="O97" i="7"/>
  <c r="O96" i="7"/>
  <c r="O95" i="7"/>
  <c r="O94" i="7"/>
  <c r="O93" i="7"/>
  <c r="O92" i="7"/>
  <c r="O91" i="7"/>
  <c r="O90" i="7"/>
  <c r="O89" i="7"/>
  <c r="O88" i="7"/>
  <c r="O87" i="7"/>
  <c r="O86" i="7"/>
  <c r="O85" i="7"/>
  <c r="O84" i="7"/>
  <c r="O83" i="7"/>
  <c r="O82" i="7"/>
  <c r="O81" i="7"/>
  <c r="O80" i="7"/>
  <c r="O79" i="7"/>
  <c r="O78" i="7"/>
  <c r="O77" i="7"/>
  <c r="O76"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O33" i="7"/>
  <c r="O32" i="7"/>
  <c r="O31" i="7"/>
  <c r="O30" i="7"/>
  <c r="O29" i="7"/>
  <c r="O28" i="7"/>
  <c r="O27" i="7"/>
  <c r="O26" i="7"/>
  <c r="O25" i="7"/>
  <c r="O24" i="7"/>
  <c r="O23" i="7"/>
  <c r="O22" i="7"/>
  <c r="O21" i="7"/>
  <c r="O20" i="7"/>
  <c r="O19" i="7"/>
  <c r="O18" i="7"/>
  <c r="O17" i="7"/>
  <c r="O16" i="7"/>
  <c r="O15" i="7"/>
  <c r="O14" i="7"/>
  <c r="O13" i="7"/>
  <c r="O12" i="7"/>
  <c r="O11" i="7"/>
  <c r="O10" i="7"/>
  <c r="O9" i="7"/>
  <c r="O8" i="7"/>
  <c r="O7" i="7"/>
  <c r="O6" i="7"/>
  <c r="O5" i="7"/>
  <c r="O4" i="7"/>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9" i="6"/>
  <c r="O348" i="6"/>
  <c r="O347" i="6"/>
  <c r="O346" i="6"/>
  <c r="O345" i="6"/>
  <c r="O344" i="6"/>
  <c r="O343" i="6"/>
  <c r="O342" i="6"/>
  <c r="O341" i="6"/>
  <c r="O340" i="6"/>
  <c r="O339" i="6"/>
  <c r="O338" i="6"/>
  <c r="O337" i="6"/>
  <c r="O336" i="6"/>
  <c r="O335" i="6"/>
  <c r="O334" i="6"/>
  <c r="O333" i="6"/>
  <c r="O332" i="6"/>
  <c r="O331" i="6"/>
  <c r="O330" i="6"/>
  <c r="O329" i="6"/>
  <c r="O328" i="6"/>
  <c r="O327" i="6"/>
  <c r="O326" i="6"/>
  <c r="O325" i="6"/>
  <c r="O324" i="6"/>
  <c r="O323" i="6"/>
  <c r="O322" i="6"/>
  <c r="O321" i="6"/>
  <c r="O320" i="6"/>
  <c r="O319" i="6"/>
  <c r="O318" i="6"/>
  <c r="O317" i="6"/>
  <c r="O3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O10" i="6"/>
  <c r="O9" i="6"/>
  <c r="O8" i="6"/>
  <c r="O7" i="6"/>
  <c r="O6" i="6"/>
  <c r="O5" i="6"/>
  <c r="O4" i="6"/>
  <c r="AM7" i="8" l="1"/>
  <c r="AE7" i="8"/>
  <c r="AK7" i="8"/>
  <c r="AC7" i="8"/>
  <c r="AZ7" i="8"/>
  <c r="AJ7" i="8"/>
  <c r="AD7" i="8"/>
  <c r="AP7" i="8"/>
  <c r="AH7" i="8"/>
  <c r="AO7" i="8"/>
  <c r="AG7" i="8"/>
  <c r="G5" i="11"/>
  <c r="AN7" i="8"/>
  <c r="AF7" i="8"/>
  <c r="AQ7" i="8" s="1"/>
  <c r="AK6" i="8"/>
  <c r="AC6" i="8"/>
  <c r="G4" i="11"/>
  <c r="AH6" i="8"/>
  <c r="AG6" i="8"/>
  <c r="AZ6" i="8"/>
  <c r="AJ6" i="8"/>
  <c r="AM6" i="8"/>
  <c r="AE6" i="8"/>
  <c r="AD6" i="8"/>
  <c r="AF6" i="8" s="1"/>
  <c r="AG8" i="8"/>
  <c r="AM8" i="8"/>
  <c r="AE8" i="8"/>
  <c r="AD8" i="8"/>
  <c r="G6" i="11"/>
  <c r="AK8" i="8"/>
  <c r="AQ8" i="8" s="1"/>
  <c r="AC8" i="8"/>
  <c r="AN8" i="8"/>
  <c r="AY8" i="8" s="1"/>
  <c r="AF8" i="8"/>
  <c r="AR8" i="8" s="1"/>
  <c r="AZ8" i="8"/>
  <c r="AJ8" i="8"/>
  <c r="AP8" i="8" s="1"/>
  <c r="AH8" i="8"/>
  <c r="AO8" i="8" s="1"/>
  <c r="AJ5" i="8"/>
  <c r="AZ5" i="8"/>
  <c r="AJ9" i="8"/>
  <c r="AZ9" i="8"/>
  <c r="AG5" i="8"/>
  <c r="AH5" i="8"/>
  <c r="AC5" i="8"/>
  <c r="AK5" i="8"/>
  <c r="AC9" i="8"/>
  <c r="AK9" i="8"/>
  <c r="AD9" i="8"/>
  <c r="AF9" i="8" s="1"/>
  <c r="G3" i="11"/>
  <c r="C10" i="11"/>
  <c r="AD5" i="8"/>
  <c r="AE5" i="8"/>
  <c r="AM5" i="8"/>
  <c r="AE9" i="8"/>
  <c r="AM9" i="8"/>
  <c r="AF5" i="8"/>
  <c r="AR5" i="8" s="1"/>
  <c r="C4" i="11"/>
  <c r="AG9" i="8"/>
  <c r="AQ5" i="8"/>
  <c r="AQ6" i="8" l="1"/>
  <c r="AR6" i="8"/>
  <c r="AP6" i="8"/>
  <c r="AN6" i="8"/>
  <c r="AO6" i="8"/>
  <c r="AS6" i="8" s="1"/>
  <c r="AQ9" i="8"/>
  <c r="AP9" i="8"/>
  <c r="AS9" i="8" s="1"/>
  <c r="AN9" i="8"/>
  <c r="AR9" i="8"/>
  <c r="AO9" i="8"/>
  <c r="AO5" i="8"/>
  <c r="AR7" i="8"/>
  <c r="AS7" i="8" s="1"/>
  <c r="AS8" i="8"/>
  <c r="C15" i="11"/>
  <c r="C14" i="11"/>
  <c r="C13" i="11"/>
  <c r="AN5" i="8"/>
  <c r="AP5" i="8"/>
  <c r="AV6" i="8" l="1"/>
  <c r="AW6" i="8" s="1"/>
  <c r="AU6" i="8"/>
  <c r="AX6" i="8" s="1"/>
  <c r="H4" i="11" s="1"/>
  <c r="AV9" i="8"/>
  <c r="AW9" i="8" s="1"/>
  <c r="AU9" i="8"/>
  <c r="AX9" i="8" s="1"/>
  <c r="H7" i="11" s="1"/>
  <c r="AU7" i="8"/>
  <c r="AX7" i="8" s="1"/>
  <c r="H5" i="11" s="1"/>
  <c r="AW7" i="8"/>
  <c r="AV7" i="8"/>
  <c r="AU8" i="8"/>
  <c r="AX8" i="8" s="1"/>
  <c r="H6" i="11" s="1"/>
  <c r="AV8" i="8"/>
  <c r="AW8" i="8" s="1"/>
  <c r="AY5" i="8"/>
  <c r="AY6" i="8"/>
  <c r="AY7" i="8"/>
  <c r="AS5" i="8"/>
  <c r="AY9" i="8"/>
  <c r="AV5" i="8" l="1"/>
  <c r="AU5" i="8"/>
  <c r="AX5" i="8" s="1"/>
  <c r="AW5" i="8"/>
  <c r="C7" i="11" l="1"/>
  <c r="C12" i="11"/>
  <c r="C11" i="11"/>
  <c r="H3" i="11"/>
  <c r="C6" i="11"/>
  <c r="C9" i="11"/>
  <c r="C8" i="11"/>
</calcChain>
</file>

<file path=xl/sharedStrings.xml><?xml version="1.0" encoding="utf-8"?>
<sst xmlns="http://schemas.openxmlformats.org/spreadsheetml/2006/main" count="1624" uniqueCount="718">
  <si>
    <t>BENCHMARK PRICING WORKBOOK – GUIDE FOR ALL USERS</t>
  </si>
  <si>
    <t>WHAT IS THIS WORKBOOK FOR?</t>
  </si>
  <si>
    <t>This workbook calculates a fair benchmark unit price for each item or service you are buying, then tells you whether the supplier's quote is above or below that benchmark.
The benchmark is built from real historical prices drawn from two sources:
  • Internal data – your organisation's own past purchase orders, invoices, and quotes
  • External database – prices imported from an external spend warehouse or market data system
Combining both sources gives you a richer, more reliable picture of fair market price.</t>
  </si>
  <si>
    <t>HOW THE BENCHMARK IS CALCULATED (plain English)</t>
  </si>
  <si>
    <t>Step 1 – Matching: The workbook finds all historical prices for the same item, unit of measure, and currency.
Step 2 – Aggregation: It averages those prices (simple, weighted, or median – set in Benchmark Settings). Weighted average is the default: prices from more trusted sources count more.
Step 3 – Adjustments: The raw average is then adjusted for four differences between the benchmark data and your current quote:
   Volume – large orders are usually cheaper per unit than small ones.
   Specification – a higher-spec product should cost more; lower-spec should cost less.
   Location – some locations cost more to deliver to than others.
   Service Level – a premium SLA should cost more than a standard one.
   Inflation/Index – historical prices are adjusted to today's market level using a price index.
Step 4 – Output: The final adjusted benchmark price is compared to the supplier's quoted price to produce a variance (£ and %).</t>
  </si>
  <si>
    <t>THE FIVE SHEETS YOU WILL USE DAY-TO-DAY</t>
  </si>
  <si>
    <t>1. Benchmark Settings  – Change the benchmark method (weighted/simple/median), minimum data point threshold, and the size of each adjustment factor here. Every formula reads from this sheet.
2. Location Index Table – Add or update location cost indices here (e.g. London = 1.07 means London is 7% more expensive than the UK baseline).
3. Index Table – Stores the current market price index for each category (e.g. IT Hardware index is currently 112). Update this when you refresh the workbook.
4. Internal Benchmark Data – Paste or load your historical internal prices here. Each row is one historical data point. Do not delete the header row.
5. External DB Benchmark Extract – Paste external benchmark rows here (from a spend warehouse, market data feed, etc.). Same column structure as Internal Benchmark Data.
6. Pricing Calculation – The main working sheet. Enter deal details in the BLUE columns (A–V). All columns from W onwards calculate automatically – do not type in them.</t>
  </si>
  <si>
    <t>COLOUR CODING IN PRICING CALCULATION</t>
  </si>
  <si>
    <t>BLUE background / Blue text → INPUT. You must fill these in. They are the details of the quote you are analysing (item name, quantity, quoted price, location, etc.).
AMBER background / Black text → BENCHMARK AGGREGATION. Auto-calculated formulas that count data points and calculate the raw benchmark price.
GREEN background / Black text → ADJUSTMENT FACTORS. Auto-calculated multipliers that adjust the benchmark to be fair for this specific quote.
PEACH/ORANGE background / Black text → OUTPUTS. The final adjusted benchmark and variance figures.
GREY background → AUTO-CALCULATED. Never type over grey or amber or green or peach cells.</t>
  </si>
  <si>
    <t>MINIMUM DATA POINTS GATE</t>
  </si>
  <si>
    <t>If there are fewer than 3 comparable data points (default; change in Benchmark Settings), all benchmark and adjustment columns will show blank. This prevents the workbook from presenting an unreliable benchmark. Add more data to the Internal or External benchmark sheets to unlock the calculation.</t>
  </si>
  <si>
    <t>ADDING YOUR OWN DATA</t>
  </si>
  <si>
    <t>To add internal benchmark data: go to the 'Internal Benchmark Data' sheet and add new rows below the existing data. You must fill in: Item Name, Unit of Measure, Currency, Raw Unit Price, Source Weight (0.5–1.5), Historical Quantity, Spec Score, SLA Score, Location Cost Index, Index ID, Index Value At Price Date, and Include in Benchmark? (Yes/No).
To add external benchmark data: go to 'External DB Benchmark Extract' and add rows in the same format. The workbook treats both sheets identically in every formula.</t>
  </si>
  <si>
    <t>GLOSSARY OF KEY TERMS</t>
  </si>
  <si>
    <t>Source Weight – A number between 0.5 and 1.5 that reflects how reliable the price source is. 1.0 = normal confidence. 1.2 = high confidence (e.g. recent market data). 0.7 = lower confidence (e.g. old or unverified quote).
Benchmark Key – A text string combining Item|UOM|Currency used to match benchmark rows to quote lines. Must be consistent across internal and external data.
Include in Benchmark? – A Yes/No flag on each benchmark row. Set to No to exclude outliers or non-comparable records without deleting them.
Volume Elasticity (default 0.06) – Controls how strongly quantity differences affect price. A higher number means buying twice as much gives a bigger discount.
Index Value At Price Date – The value of the relevant price index when the historical price was recorded. Used to adjust for inflation/deflation since then.</t>
  </si>
  <si>
    <t>GOVERNANCE – WHO OWNS WHAT</t>
  </si>
  <si>
    <t>Workbook Owner: The Procurement lead or Contracts Manager responsible for benchmark integrity.
Index Values (Index Table): Must be reviewed and updated at least quarterly, or immediately when market conditions change significantly. Record every update in the Change Log sheet.
Location Indices (Location Index Table): Review annually or when entering new geographies. Update the Source/Basis column when changing a value.
Benchmark Data (Internal and External sheets): Fresh data should be loaded at least twice per year. Stale data (&gt;18 months old) should be excluded by setting Include=No.
Pricing Calculation: Each deal analysis should be saved as a separate dated copy. Do not overwrite previous analyses — keep a version history.
Approval: Significant benchmark changes (adjusting Settings factors, removing data points, changing index values by &gt;5%) should be approved by a second reviewer and logged in the Change Log.</t>
  </si>
  <si>
    <t>DATA QUALITY STANDARDS</t>
  </si>
  <si>
    <t>Item Name consistency: The Item Name in Pricing Calculation must exactly match the Item Name in the benchmark data sheets (case-sensitive). A mismatch = zero data points found.
Unit of Measure consistency: 'Each' and 'each' are different. Standardise to a fixed vocabulary across all sheets.
Currency: All prices must be in the same base currency (default GBP) before loading. Do not mix currencies — convert externally first.
Specification and SLA Scores: Scores must be calibrated consistently across all data. If you change the scoring scale, you must re-score all existing benchmark rows.
Source Weight range: Must be between 0.5 and 1.5. Default = 1.0. Weights outside this range will produce disproportionate results.
Minimum data points: The default minimum of 3 is a floor, not a quality standard. For high-value deals, consider raising the minimum to 6 or more in Benchmark Settings.
Excluded rows (Include=No): Never delete rows — always set Include=No. This preserves the audit trail and allows re-inclusion if needed.</t>
  </si>
  <si>
    <t>KNOWN LIMITATIONS</t>
  </si>
  <si>
    <t>1. Location hierarchy: Location indices are flat — there is no parent/child relationship. If you buy in 'London', the benchmark data points for 'UK' are still included in the average, and the location adjustment will reflect the London premium over the UK average only. Be mindful that 'UK' and 'London' are separate entries.
2. Single-currency model: The workbook does not handle multi-currency benchmarks. All data must be pre-converted to the base currency.
3. Static location indices on benchmark rows: The Location Cost Index stored on each benchmark data row (col I) is a static value entered when the data was loaded. If you update the Location Index Table, existing benchmark rows will NOT automatically reflect the change. You must reload or manually update col I on affected rows.
4. Median calculation: The Median formula uses array calculation which may be slow in older versions of Excel (pre-365) with large datasets.
5. Risk/penalty columns T, U, V: These are informational only and are not incorporated into the benchmark comparison. They are available for qualitative scoring but require manual interpretation alongside the quantitative output.
6. No multi-supplier comparison: Each row in Pricing Calculation represents one quote line from one supplier. To compare multiple suppliers for the same item, add a separate row per supplier.</t>
  </si>
  <si>
    <t>TROUBLESHOOTING</t>
  </si>
  <si>
    <t>Benchmark shows blank / all zeros:
  • Check that Total Data Points (col Y) meets the minimum in Benchmark Settings. If Y = 0, no matching rows were found.
  • Verify that Item Name, Unit of Measure, and Currency in Pricing Calculation exactly match what is in the benchmark data sheets.
  • Check that matching rows in the data sheets have Include = Yes (col S).
Location adjustment looks wrong (not a number):
  • The location in col I of Pricing Calculation is not in the Location Index Table. Add it there or correct the spelling.
Inflation adjustment looks too large or too small:
  • Check the Index Table current values are up to date. A large adjustment usually means the current index is much higher than the historic average in the data.
Benchmark seems too high or too low vs market:
  • Review the data quality: are there outlier rows that should be excluded (Include=No)?
  • Check Source Weights — overly high weights on a few rows can skew the weighted average.
  • Consider switching to Median in Benchmark Settings if the data contains outliers.
All formulas returning #VALUE! or #NAME?:
  • Do not type directly in amber, green, or peach cells. These are formula cells.
  • If the Formula column (B) of the Formula Map shows '=' signs as text, that is intentional and correct — those cells are descriptions, not live formulas.</t>
  </si>
  <si>
    <t>Change Log – Record all material changes to this workbook here</t>
  </si>
  <si>
    <t>Version</t>
  </si>
  <si>
    <t>Date</t>
  </si>
  <si>
    <t>Changed By</t>
  </si>
  <si>
    <t>Sheet(s) Affected</t>
  </si>
  <si>
    <t>Nature of Change</t>
  </si>
  <si>
    <t>Approved By</t>
  </si>
  <si>
    <t>e.g. v1.0, v1.1</t>
  </si>
  <si>
    <t>DD/MM/YYYY</t>
  </si>
  <si>
    <t>Name of person who made the change</t>
  </si>
  <si>
    <t>e.g. Benchmark Settings, Index Table</t>
  </si>
  <si>
    <t>Brief description of what changed and why</t>
  </si>
  <si>
    <t>Name of approver (e.g. Procurement Lead)</t>
  </si>
  <si>
    <t>v1.0</t>
  </si>
  <si>
    <t>UPDATE REQUIRED</t>
  </si>
  <si>
    <t>All</t>
  </si>
  <si>
    <t>Initial version — complete rebuild with explanations, formula map, and dashboard.</t>
  </si>
  <si>
    <t>v1.1</t>
  </si>
  <si>
    <t>Location Index Table, Pricing Calculation, Data Sheets</t>
  </si>
  <si>
    <t>Added Location Type column. Added Source Weight traceability (Weighted Price col O). Fixed VLOOKUP column reference. Fixed Include flag column reference after Weighted Price insert. Added Combined Adjustment Factor (col AY) and Benchmark Confidence (col AZ). Added data validation on Include flag and Location fields. Added Source/Basis to Index and Location tables. Corrected Adjustment Formula Guide settings row references.</t>
  </si>
  <si>
    <t>Benchmark Settings – Central Configuration (all formulas read from this sheet)</t>
  </si>
  <si>
    <t>Setting</t>
  </si>
  <si>
    <t>Value</t>
  </si>
  <si>
    <t>What this setting does</t>
  </si>
  <si>
    <t>CORE SETTINGS</t>
  </si>
  <si>
    <t>Minimum Comparable Data Points</t>
  </si>
  <si>
    <t>The benchmark will not be shown unless the total number of matching internal + external data points is at least this number. Default = 3. Increase to require more evidence before trusting a benchmark.</t>
  </si>
  <si>
    <t>Benchmark Method</t>
  </si>
  <si>
    <t>Weighted Average</t>
  </si>
  <si>
    <t>How the raw benchmark price is calculated from the data points. Options: 'Weighted Average' (default – recommended), 'Simple Average', 'Median'. Change the exact text here to switch method.</t>
  </si>
  <si>
    <t>VOLUME ADJUSTMENT SETTINGS</t>
  </si>
  <si>
    <t>Volume Elasticity</t>
  </si>
  <si>
    <t>Controls the strength of the volume discount/premium curve. Formula: (Target Qty / Benchmark Ref Qty) ^ (−Elasticity). 0.06 means doubling the quantity reduces unit price by ~4%. Higher = stronger volume effect.</t>
  </si>
  <si>
    <t>Volume Min Factor</t>
  </si>
  <si>
    <t>Floor cap on the volume adjustment. The adjustment can never go below 0.85 (i.e. never grant more than 15% volume discount). Prevents extreme adjustments.</t>
  </si>
  <si>
    <t>Volume Max Factor</t>
  </si>
  <si>
    <t>Ceiling cap on the volume adjustment. The adjustment can never exceed 1.15 (i.e. never add more than 15% low-volume premium).</t>
  </si>
  <si>
    <t>SPECIFICATION ADJUSTMENT SETTINGS</t>
  </si>
  <si>
    <t>Specification Score Factor</t>
  </si>
  <si>
    <t>Each 1-point difference between the requested spec score and the benchmark average spec score changes the benchmark by this factor. E.g. 0.03 means a score 2 points above average → +6% on benchmark.</t>
  </si>
  <si>
    <t>Specification Min Factor</t>
  </si>
  <si>
    <t>Floor cap on the specification adjustment. Max 10% reduction.</t>
  </si>
  <si>
    <t>Specification Max Factor</t>
  </si>
  <si>
    <t>Ceiling cap on the specification adjustment. Max 20% addition.</t>
  </si>
  <si>
    <t>SERVICE LEVEL ADJUSTMENT SETTINGS</t>
  </si>
  <si>
    <t>Service Level Score Factor</t>
  </si>
  <si>
    <t>Each 1-point difference between the requested SLA score and the benchmark average SLA score changes the benchmark by this factor. 0.025 means a score 2 points above average → +5% on benchmark.</t>
  </si>
  <si>
    <t>Service Level Min Factor</t>
  </si>
  <si>
    <t>Floor cap on the service level adjustment.</t>
  </si>
  <si>
    <t>Service Level Max Factor</t>
  </si>
  <si>
    <t>Ceiling cap on the service level adjustment.</t>
  </si>
  <si>
    <t>DEFAULTS</t>
  </si>
  <si>
    <t>Default Location Index</t>
  </si>
  <si>
    <t>Used when a location cannot be found in the Location Index Table. 1.0 = no adjustment. Only change if your baseline location has a different cost level.</t>
  </si>
  <si>
    <t>Default Current Index</t>
  </si>
  <si>
    <t>Used when an Index ID cannot be found in the Index Table. 1.0 = no inflation adjustment.</t>
  </si>
  <si>
    <t>Location Index Table – Geographic Cost Indices for the Location Adjustment Formula</t>
  </si>
  <si>
    <t>Location</t>
  </si>
  <si>
    <t>Location Type</t>
  </si>
  <si>
    <t>Location Cost Index</t>
  </si>
  <si>
    <t>Notes / Explanation</t>
  </si>
  <si>
    <t>Source / Basis</t>
  </si>
  <si>
    <t>Name used in Location col of data sheets</t>
  </si>
  <si>
    <t>Country · City · Region · Delivery Mode</t>
  </si>
  <si>
    <t>1.00 = baseline. Higher = more expensive</t>
  </si>
  <si>
    <t>Context for this entry</t>
  </si>
  <si>
    <t>Evidence or rationale for this cost index value</t>
  </si>
  <si>
    <t>UK</t>
  </si>
  <si>
    <t>Country</t>
  </si>
  <si>
    <t>UK national baseline – all other indices are relative to this</t>
  </si>
  <si>
    <t>ONS / CIPS UK baseline – set to 1.0 by definition</t>
  </si>
  <si>
    <t>London</t>
  </si>
  <si>
    <t>City</t>
  </si>
  <si>
    <t>Higher labour and property costs push prices 7% above UK baseline</t>
  </si>
  <si>
    <t>CBRE London office cost premium data; Knight Frank labour cost index</t>
  </si>
  <si>
    <t>North England</t>
  </si>
  <si>
    <t>Region</t>
  </si>
  <si>
    <t>Lower average costs than UK baseline</t>
  </si>
  <si>
    <t>ONS regional cost differential (North vs UK average)</t>
  </si>
  <si>
    <t>EU</t>
  </si>
  <si>
    <t>Country / Bloc</t>
  </si>
  <si>
    <t>European average – slight uplift for cross-border costs</t>
  </si>
  <si>
    <t>Eurostat cross-border procurement cost data; CIPS European index</t>
  </si>
  <si>
    <t>US</t>
  </si>
  <si>
    <t>US delivery and support premium</t>
  </si>
  <si>
    <t>BLS / Gartner US IT services cost index vs UK baseline</t>
  </si>
  <si>
    <t>India</t>
  </si>
  <si>
    <t>Significantly lower labour cost index</t>
  </si>
  <si>
    <t>NASSCOM / Everest Group offshore delivery cost benchmark</t>
  </si>
  <si>
    <t>Global Remote</t>
  </si>
  <si>
    <t>Delivery Mode</t>
  </si>
  <si>
    <t>Remote-delivered service at blended rate, no physical site cost</t>
  </si>
  <si>
    <t>Internal blended cost model for fully remote-delivered services</t>
  </si>
  <si>
    <t>HOW TO ADD A NEW LOCATION: Add a row above this line. Set Location Type (Country / City / Region / Delivery Mode), Index (1.0 = UK baseline), and Source. The VLOOKUP in Pricing Calculation col AI will pick it up automatically.</t>
  </si>
  <si>
    <t>Index Table – Current Price Index Values Used by the Inflation / Index Adjustment Formula</t>
  </si>
  <si>
    <t>Index ID</t>
  </si>
  <si>
    <t>Index Name</t>
  </si>
  <si>
    <t>Current Index Value</t>
  </si>
  <si>
    <t>Notes</t>
  </si>
  <si>
    <t>Last Updated</t>
  </si>
  <si>
    <t>ID used in all data sheets and benchmark rows</t>
  </si>
  <si>
    <t>Full name for reference</t>
  </si>
  <si>
    <t>UPDATE THIS VALUE when you refresh the workbook</t>
  </si>
  <si>
    <t>Source and guidance</t>
  </si>
  <si>
    <t>Where does this index number come from? Name the publication, dataset, or internal calculation used.</t>
  </si>
  <si>
    <t>Date this index value was last reviewed and updated in this workbook. Format: DD/MM/YYYY.</t>
  </si>
  <si>
    <t>IT-HARDWARE</t>
  </si>
  <si>
    <t>IT Hardware Cost Index</t>
  </si>
  <si>
    <t>Update from industry hardware price index. Baseline = 100.</t>
  </si>
  <si>
    <t>CIPS / Gartner IT Pricing Index</t>
  </si>
  <si>
    <t>SOFTWARE-SAAS</t>
  </si>
  <si>
    <t>Software / SaaS Index</t>
  </si>
  <si>
    <t>Update from software licence/SaaS pricing index.</t>
  </si>
  <si>
    <t>Gartner SaaS Pricing Tracker</t>
  </si>
  <si>
    <t>FACILITIES-LABOUR</t>
  </si>
  <si>
    <t>Facilities Labour Index</t>
  </si>
  <si>
    <t>Update from facilities management or labour cost index.</t>
  </si>
  <si>
    <t>ONS Labour Cost Index</t>
  </si>
  <si>
    <t>NETWORK-SUPPORT</t>
  </si>
  <si>
    <t>Network Support Services Index</t>
  </si>
  <si>
    <t>Update from network services benchmark index.</t>
  </si>
  <si>
    <t>TechMarket View Managed Services Index</t>
  </si>
  <si>
    <t>DESKTOP-MS</t>
  </si>
  <si>
    <t>Desktop Managed Service Index</t>
  </si>
  <si>
    <t>Update from managed services benchmark index.</t>
  </si>
  <si>
    <t>HOW TO USE: The 'Current Index Value' column (C) is what you update periodically to reflect current market conditions. The benchmark data rows each store the index value at the time of the historical price. The Inflation Adjustment formula divides Current Index by Historical Index to bring old prices up (or down) to today's level.
Example: Historical price recorded when index = 104. Current index = 112. Adjustment = 112/104 = 1.077. The benchmark is uplifted by 7.7% to reflect cost increases.</t>
  </si>
  <si>
    <t>Internal Benchmark Data</t>
  </si>
  <si>
    <t>Benchmark Point ID</t>
  </si>
  <si>
    <t>Item Name</t>
  </si>
  <si>
    <t>Category</t>
  </si>
  <si>
    <t>Specification Group</t>
  </si>
  <si>
    <t>Specification Score</t>
  </si>
  <si>
    <t>Unit of Measure</t>
  </si>
  <si>
    <t>Currency</t>
  </si>
  <si>
    <t>Service Level</t>
  </si>
  <si>
    <t>SLA Score</t>
  </si>
  <si>
    <t>Historical Quantity</t>
  </si>
  <si>
    <t>Raw Unit Price</t>
  </si>
  <si>
    <t>Source Weight</t>
  </si>
  <si>
    <t>Effective Date</t>
  </si>
  <si>
    <t>Index Value At Price Date</t>
  </si>
  <si>
    <t>Include in Benchmark?</t>
  </si>
  <si>
    <t>Source Type</t>
  </si>
  <si>
    <t>Source System</t>
  </si>
  <si>
    <t>Source Database</t>
  </si>
  <si>
    <t>Source Table/View</t>
  </si>
  <si>
    <t>Source Record ID</t>
  </si>
  <si>
    <t>Benchmark Key</t>
  </si>
  <si>
    <t>Unique ID for this data row. Must not be duplicated.</t>
  </si>
  <si>
    <t>The product or service name. Must exactly match the item name used in the Pricing Calculation sheet.</t>
  </si>
  <si>
    <t>Category for filtering and governance.</t>
  </si>
  <si>
    <t>Descriptive spec grouping (e.g. 'Standard business laptop').</t>
  </si>
  <si>
    <t>Score from 1 to 10 for the specification level. Higher = premium spec. Must use the same scoring model across all rows.</t>
  </si>
  <si>
    <t>The unit (Each, Month, Licence, User/Month, etc.). Must match exactly what is in the Pricing Calculation sheet.</t>
  </si>
  <si>
    <t>ISO currency code (e.g. GBP). Prices must already be converted to a common currency before loading.</t>
  </si>
  <si>
    <t>Where the product/service was delivered. Must match a value in the Location Index Table.</t>
  </si>
  <si>
    <t>Cost index for this location. Looked up from the Location Index Table when data is loaded.</t>
  </si>
  <si>
    <t>SLA category label (e.g. Standard, Enhanced, Premium).</t>
  </si>
  <si>
    <t>Score from 1 to 10 for the service level. Must use the same scoring model as the Pricing Calculation sheet.</t>
  </si>
  <si>
    <t>The quantity purchased in this historical transaction. Used to calculate the benchmark reference quantity for volume adjustment.</t>
  </si>
  <si>
    <t>The unit price from the historical transaction. This is the core benchmark price input. Must be currency-normalised.</t>
  </si>
  <si>
    <t>Confidence/quality weight for this data row (0.5–1.5). Higher = more trusted. Default = 1.0.</t>
  </si>
  <si>
    <t>Weighted Price
(Price × Weight)</t>
  </si>
  <si>
    <t>Date of the transaction or price observation. Used for audit and indexation.</t>
  </si>
  <si>
    <t>The price index that applies to this item (e.g. IT-HARDWARE). Must match a row in the Index Table.</t>
  </si>
  <si>
    <t>The value of the Index ID at the Effective Date. Used by the Inflation/Index Adjustment formula.</t>
  </si>
  <si>
    <t>Yes or No. Only rows marked Yes are included in benchmark calculations. Use No to exclude outliers.</t>
  </si>
  <si>
    <t>e.g. 'Internal Historical', 'External Database', 'Market Benchmark'.</t>
  </si>
  <si>
    <t>The system or application the price came from (e.g. ERP, Spend Warehouse).</t>
  </si>
  <si>
    <t>Database or data store name for audit trail.</t>
  </si>
  <si>
    <t>Table or view name within the source database.</t>
  </si>
  <si>
    <t>The original row/record identifier from the source system.</t>
  </si>
  <si>
    <t>Free-text notes about this data point.</t>
  </si>
  <si>
    <t>Auto-generated key = Item Name|UOM|Currency. Used for diagnostics.</t>
  </si>
  <si>
    <t>INT0001</t>
  </si>
  <si>
    <t>Laptop</t>
  </si>
  <si>
    <t>IT Hardware</t>
  </si>
  <si>
    <t>Standard business laptop</t>
  </si>
  <si>
    <t>Each</t>
  </si>
  <si>
    <t>GBP</t>
  </si>
  <si>
    <t>Standard</t>
  </si>
  <si>
    <t>Yes</t>
  </si>
  <si>
    <t>Internal Historical</t>
  </si>
  <si>
    <t>ERP / P2P</t>
  </si>
  <si>
    <t>internal_procurement</t>
  </si>
  <si>
    <t>po_invoice_quote_history</t>
  </si>
  <si>
    <t>POINV-00001</t>
  </si>
  <si>
    <t>Internal comparable data point</t>
  </si>
  <si>
    <t>Laptop|Each|GBP</t>
  </si>
  <si>
    <t>INT0002</t>
  </si>
  <si>
    <t>POINV-00002</t>
  </si>
  <si>
    <t>INT0003</t>
  </si>
  <si>
    <t>POINV-00003</t>
  </si>
  <si>
    <t>INT0004</t>
  </si>
  <si>
    <t>POINV-00004</t>
  </si>
  <si>
    <t>INT0005</t>
  </si>
  <si>
    <t>POINV-00005</t>
  </si>
  <si>
    <t>INT0006</t>
  </si>
  <si>
    <t>POINV-00006</t>
  </si>
  <si>
    <t>INT0007</t>
  </si>
  <si>
    <t>POINV-00007</t>
  </si>
  <si>
    <t>INT0008</t>
  </si>
  <si>
    <t>M365 Licence</t>
  </si>
  <si>
    <t>Software</t>
  </si>
  <si>
    <t>Business standard licence</t>
  </si>
  <si>
    <t>Licence</t>
  </si>
  <si>
    <t>POINV-00008</t>
  </si>
  <si>
    <t>M365 Licence|Licence|GBP</t>
  </si>
  <si>
    <t>INT0009</t>
  </si>
  <si>
    <t>POINV-00009</t>
  </si>
  <si>
    <t>INT0010</t>
  </si>
  <si>
    <t>POINV-00010</t>
  </si>
  <si>
    <t>INT0011</t>
  </si>
  <si>
    <t>POINV-00011</t>
  </si>
  <si>
    <t>INT0012</t>
  </si>
  <si>
    <t>POINV-00012</t>
  </si>
  <si>
    <t>INT0013</t>
  </si>
  <si>
    <t>POINV-00013</t>
  </si>
  <si>
    <t>INT0014</t>
  </si>
  <si>
    <t>POINV-00014</t>
  </si>
  <si>
    <t>INT0015</t>
  </si>
  <si>
    <t>Facilities Cleaning</t>
  </si>
  <si>
    <t>Facilities</t>
  </si>
  <si>
    <t>Office cleaning monthly service</t>
  </si>
  <si>
    <t>Month</t>
  </si>
  <si>
    <t>POINV-00015</t>
  </si>
  <si>
    <t>Facilities Cleaning|Month|GBP</t>
  </si>
  <si>
    <t>INT0016</t>
  </si>
  <si>
    <t>POINV-00016</t>
  </si>
  <si>
    <t>INT0017</t>
  </si>
  <si>
    <t>POINV-00017</t>
  </si>
  <si>
    <t>INT0018</t>
  </si>
  <si>
    <t>POINV-00018</t>
  </si>
  <si>
    <t>INT0019</t>
  </si>
  <si>
    <t>POINV-00019</t>
  </si>
  <si>
    <t>INT0020</t>
  </si>
  <si>
    <t>POINV-00020</t>
  </si>
  <si>
    <t>INT0021</t>
  </si>
  <si>
    <t>POINV-00021</t>
  </si>
  <si>
    <t>INT0022</t>
  </si>
  <si>
    <t>Network Support</t>
  </si>
  <si>
    <t>IT Services</t>
  </si>
  <si>
    <t>Network support monthly service</t>
  </si>
  <si>
    <t>Enhanced</t>
  </si>
  <si>
    <t>POINV-00022</t>
  </si>
  <si>
    <t>Network Support|Month|GBP</t>
  </si>
  <si>
    <t>INT0023</t>
  </si>
  <si>
    <t>POINV-00023</t>
  </si>
  <si>
    <t>INT0024</t>
  </si>
  <si>
    <t>POINV-00024</t>
  </si>
  <si>
    <t>INT0025</t>
  </si>
  <si>
    <t>POINV-00025</t>
  </si>
  <si>
    <t>INT0026</t>
  </si>
  <si>
    <t>POINV-00026</t>
  </si>
  <si>
    <t>INT0027</t>
  </si>
  <si>
    <t>POINV-00027</t>
  </si>
  <si>
    <t>INT0028</t>
  </si>
  <si>
    <t>POINV-00028</t>
  </si>
  <si>
    <t>INT0029</t>
  </si>
  <si>
    <t>Desktop Managed Service</t>
  </si>
  <si>
    <t>End User Services</t>
  </si>
  <si>
    <t>Device management per user per month</t>
  </si>
  <si>
    <t>User/Month</t>
  </si>
  <si>
    <t>POINV-00029</t>
  </si>
  <si>
    <t>Desktop Managed Service|User/Month|GBP</t>
  </si>
  <si>
    <t>INT0030</t>
  </si>
  <si>
    <t>POINV-00030</t>
  </si>
  <si>
    <t>INT0031</t>
  </si>
  <si>
    <t>POINV-00031</t>
  </si>
  <si>
    <t>INT0032</t>
  </si>
  <si>
    <t>POINV-00032</t>
  </si>
  <si>
    <t>INT0033</t>
  </si>
  <si>
    <t>POINV-00033</t>
  </si>
  <si>
    <t>INT0034</t>
  </si>
  <si>
    <t>POINV-00034</t>
  </si>
  <si>
    <t>INT0035</t>
  </si>
  <si>
    <t>POINV-00035</t>
  </si>
  <si>
    <t>INT9991</t>
  </si>
  <si>
    <t>Legacy laptop</t>
  </si>
  <si>
    <t>Basic</t>
  </si>
  <si>
    <t>No</t>
  </si>
  <si>
    <t>POINV-9991</t>
  </si>
  <si>
    <t>Excluded – obsolete spec</t>
  </si>
  <si>
    <t>External DB Benchmark Extract</t>
  </si>
  <si>
    <t>EXT0001</t>
  </si>
  <si>
    <t>External Database</t>
  </si>
  <si>
    <t>SpendWarehouse / MarketData</t>
  </si>
  <si>
    <t>market_and_spend_dw</t>
  </si>
  <si>
    <t>vw_external_benchmark_prices</t>
  </si>
  <si>
    <t>EXTSRC-00001</t>
  </si>
  <si>
    <t>Loaded from external DB extract</t>
  </si>
  <si>
    <t>EXT0002</t>
  </si>
  <si>
    <t>EXTSRC-00002</t>
  </si>
  <si>
    <t>EXT0003</t>
  </si>
  <si>
    <t>EXTSRC-00003</t>
  </si>
  <si>
    <t>EXT0004</t>
  </si>
  <si>
    <t>EXTSRC-00004</t>
  </si>
  <si>
    <t>EXT0005</t>
  </si>
  <si>
    <t>EXTSRC-00005</t>
  </si>
  <si>
    <t>EXT0006</t>
  </si>
  <si>
    <t>EXTSRC-00006</t>
  </si>
  <si>
    <t>EXT0007</t>
  </si>
  <si>
    <t>EXTSRC-00007</t>
  </si>
  <si>
    <t>EXT0008</t>
  </si>
  <si>
    <t>EXTSRC-00008</t>
  </si>
  <si>
    <t>EXT0009</t>
  </si>
  <si>
    <t>EXTSRC-00009</t>
  </si>
  <si>
    <t>EXT0010</t>
  </si>
  <si>
    <t>EXTSRC-00010</t>
  </si>
  <si>
    <t>EXT0011</t>
  </si>
  <si>
    <t>EXTSRC-00011</t>
  </si>
  <si>
    <t>EXT0012</t>
  </si>
  <si>
    <t>EXTSRC-00012</t>
  </si>
  <si>
    <t>EXT0013</t>
  </si>
  <si>
    <t>EXTSRC-00013</t>
  </si>
  <si>
    <t>EXT0014</t>
  </si>
  <si>
    <t>EXTSRC-00014</t>
  </si>
  <si>
    <t>EXT0015</t>
  </si>
  <si>
    <t>EXTSRC-00015</t>
  </si>
  <si>
    <t>EXT0016</t>
  </si>
  <si>
    <t>EXTSRC-00016</t>
  </si>
  <si>
    <t>EXT0017</t>
  </si>
  <si>
    <t>EXTSRC-00017</t>
  </si>
  <si>
    <t>EXT9991</t>
  </si>
  <si>
    <t>High-end workstation</t>
  </si>
  <si>
    <t>Premium</t>
  </si>
  <si>
    <t>MarketData</t>
  </si>
  <si>
    <t>EXTSRC-9991</t>
  </si>
  <si>
    <t>Excluded – non-comparable high-spec outlier</t>
  </si>
  <si>
    <t>Pricing Calculation — BLUE columns: fill in manually   |   All other columns: auto-calculated — do not edit</t>
  </si>
  <si>
    <t>INPUT FIELDS  (columns A–V)  — fill these in with your quote details</t>
  </si>
  <si>
    <t>BENCHMARK AGGREGATION  (columns W–AM)  — auto-calculated from benchmark data sheets</t>
  </si>
  <si>
    <t>ADJUSTMENT FACTORS  (columns AN–AR)  — auto-calculated multipliers</t>
  </si>
  <si>
    <t>OUTPUTS  (columns AS–AX)  — final benchmark, totals, and variance</t>
  </si>
  <si>
    <t>Deal ID</t>
  </si>
  <si>
    <t>Supplier Name</t>
  </si>
  <si>
    <t>Supplier Quote Ref</t>
  </si>
  <si>
    <t>Quantity</t>
  </si>
  <si>
    <t>Requested Spec Score</t>
  </si>
  <si>
    <t>Requested SLA Score</t>
  </si>
  <si>
    <t>Quoted Unit Price (£)</t>
  </si>
  <si>
    <t>Delivery Cost (£)</t>
  </si>
  <si>
    <t>Implementation Cost (£)</t>
  </si>
  <si>
    <t>Support Cost (£)</t>
  </si>
  <si>
    <t>Risk Premium (£)</t>
  </si>
  <si>
    <t>Discount / Rebate (£)</t>
  </si>
  <si>
    <t>Supplier Risk Penalty [INFO ONLY]</t>
  </si>
  <si>
    <t>Contract Risk Penalty [INFO ONLY]</t>
  </si>
  <si>
    <t>Strategic Supplier Bonus [INFO ONLY]</t>
  </si>
  <si>
    <t>Internal Data Points</t>
  </si>
  <si>
    <t>External Data Points</t>
  </si>
  <si>
    <t>Total Data Points</t>
  </si>
  <si>
    <t>Int. Wtd Price Sum</t>
  </si>
  <si>
    <t>Ext. Wtd Price Sum</t>
  </si>
  <si>
    <t>Total Source Weight</t>
  </si>
  <si>
    <t>Simple Average Benchmark</t>
  </si>
  <si>
    <t>Weighted Avg Benchmark</t>
  </si>
  <si>
    <t>Median Benchmark</t>
  </si>
  <si>
    <t>Selected Benchmark Price</t>
  </si>
  <si>
    <t>Benchmark Ref Quantity</t>
  </si>
  <si>
    <t>Benchmark Avg Spec Score</t>
  </si>
  <si>
    <t>Target Location Index</t>
  </si>
  <si>
    <t>Benchmark Avg Loc. Index</t>
  </si>
  <si>
    <t>Benchmark Avg SLA Score</t>
  </si>
  <si>
    <t>Benchmark Avg Historic Index</t>
  </si>
  <si>
    <t>Volume Adjustment</t>
  </si>
  <si>
    <t>Spec Adjustment</t>
  </si>
  <si>
    <t>Location Adjustment</t>
  </si>
  <si>
    <t>SLA Adjustment</t>
  </si>
  <si>
    <t>Inflation/Index Adj.</t>
  </si>
  <si>
    <t>Final Adj. Benchmark (£)</t>
  </si>
  <si>
    <t>Quoted Total Cost (£)</t>
  </si>
  <si>
    <t>Benchmark Total Cost (£)</t>
  </si>
  <si>
    <t>Unit Price Variance (£)</t>
  </si>
  <si>
    <t>Unit Price Variance (%)</t>
  </si>
  <si>
    <t>Total Cost Gap (£)</t>
  </si>
  <si>
    <t>Combined Adj. Factor</t>
  </si>
  <si>
    <t>Benchmark Confidence</t>
  </si>
  <si>
    <t>Unique identifier for the deal or RFQ line (e.g. D001). Used to group rows.</t>
  </si>
  <si>
    <t>The product or service being quoted. Must match exactly what is in the benchmark data sheets.</t>
  </si>
  <si>
    <t>Name of the supplier submitting the quote.</t>
  </si>
  <si>
    <t>Supplier's own quote reference number for audit trail.</t>
  </si>
  <si>
    <t>Category of the item (e.g. IT Hardware, Facilities). For reference and filtering.</t>
  </si>
  <si>
    <t>The quantity being quoted. Used in the volume adjustment and total cost calculation.</t>
  </si>
  <si>
    <t>Unit of the item (e.g. Each, Month, Licence). Must match the benchmark data exactly.</t>
  </si>
  <si>
    <t>ISO currency code (e.g. GBP). Must match the benchmark data.</t>
  </si>
  <si>
    <t>Where this will be delivered or used. Looked up in the Location Index Table for adjustment.</t>
  </si>
  <si>
    <t>Score from 1-10 for the specification you are buying. 10 = highest spec. Compare to benchmark avg spec score (col AH).</t>
  </si>
  <si>
    <t>The SLA/service level required (e.g. Standard, Enhanced, Premium).</t>
  </si>
  <si>
    <t>Score from 1-10 for the service level you need. Compare to benchmark avg SLA score (col AK).</t>
  </si>
  <si>
    <t>The price index that applies to this item. Must match a row in the Index Table sheet.</t>
  </si>
  <si>
    <t>The supplier's unit price from their quote.</t>
  </si>
  <si>
    <t>Delivery/logistics cost from the quote. Enter 0 if included in unit price.</t>
  </si>
  <si>
    <t>One-off implementation or setup cost. Enter 0 if not applicable.</t>
  </si>
  <si>
    <t>Annual or contract support fees. Enter 0 if included in unit price.</t>
  </si>
  <si>
    <t>Any additional risk-based cost applied. Enter 0 if not used.</t>
  </si>
  <si>
    <t>Any discount or rebate applied (as a positive number – it reduces cost).</t>
  </si>
  <si>
    <t>Supplier Risk Penalty (INFORMATIONAL ONLY – not used in any formula)
Risk score for supplier reliability (0–100). Captured for governance and due diligence purposes. To incorporate into pricing, wire into col N (Quoted Unit Price) manually or build a separate risk-adjusted price column.</t>
  </si>
  <si>
    <t>Contract Risk Penalty (INFORMATIONAL ONLY – not used in any formula)
Risk score for contractual exposure (0–100). Recorded for governance. See note for col T above regarding how to incorporate if needed.</t>
  </si>
  <si>
    <t>Strategic Supplier Bonus (INFORMATIONAL ONLY – not used in any formula)
Bonus score for strategic/preferred supplier status (0–100). Recorded for governance. Not factored into the benchmark comparison. Useful for qualitative scoring alongside the price analysis.</t>
  </si>
  <si>
    <t>COUNT of internal benchmark rows matching this item/UOM/currency that are marked Include=Yes.</t>
  </si>
  <si>
    <t>COUNT of external DB benchmark rows matching this item/UOM/currency that are marked Include=Yes.</t>
  </si>
  <si>
    <t>Internal + External data point count. Must be ≥ the Minimum in Benchmark Settings or all benchmark columns stay blank.</t>
  </si>
  <si>
    <t>Sum of (Raw Unit Price × Source Weight) for all matching internal rows. Used for weighted average.</t>
  </si>
  <si>
    <t>Sum of (Raw Unit Price × Source Weight) for all matching external rows. Used for weighted average.</t>
  </si>
  <si>
    <t>Sum of Source Weight (col N) for all matching rows across both data sheets — this is the denominator for the weighted average. To verify: in each data sheet, filter to this item/UOM/currency + Include=Yes, and sum col N (Weight). Col O (Weighted Price = Price × Weight) shows each row's contribution to the numerators in cols Z and AA.</t>
  </si>
  <si>
    <t>All matching prices added up and divided equally by the total count. Every data point counts the same.</t>
  </si>
  <si>
    <t>Sum of (price × weight) divided by total weight. Higher-weight sources have more influence. Default method.</t>
  </si>
  <si>
    <t>The middle price when all matching prices are sorted. Reduces the effect of high or low outliers. Requires Excel 365.</t>
  </si>
  <si>
    <t>The raw benchmark price selected based on the Benchmark Method in Benchmark Settings (Weighted Avg by default).</t>
  </si>
  <si>
    <t>Weighted average of historical quantities from all matching data points. Used as the 'normal' quantity for volume adjustment.</t>
  </si>
  <si>
    <t>Weighted average spec score across all matching benchmark rows. Compared to your Requested Spec Score.</t>
  </si>
  <si>
    <t>The cost index for the location in column I, looked up from the Location Index Table.</t>
  </si>
  <si>
    <t>Weighted average location cost index across all matching benchmark rows.</t>
  </si>
  <si>
    <t>Weighted average SLA score across all matching benchmark rows.</t>
  </si>
  <si>
    <t>The current value of the price index for this item's category, looked up from the Index Table.</t>
  </si>
  <si>
    <t>Weighted average of the index value at the time each benchmark price was recorded.</t>
  </si>
  <si>
    <t>Factor for quantity scale. &gt; 1.0 = buying less than benchmark avg (premium). &lt; 1.0 = buying more (discount). Formula: (Qty / Ref Qty)^(−Elasticity), capped by settings.</t>
  </si>
  <si>
    <t>Factor for specification difference. &gt; 1.0 = requested spec is higher than benchmark avg. &lt; 1.0 = lower. Formula: 1 + ((Req Spec − Avg Spec) × Spec Factor), capped.</t>
  </si>
  <si>
    <t>Factor for geographic cost difference. = Target Location Index ÷ Benchmark Average Location Index. &gt; 1.0 = target is more expensive than benchmark locations.</t>
  </si>
  <si>
    <t>Factor for service level difference. &gt; 1.0 = requesting higher SLA than benchmark avg. &lt; 1.0 = lower SLA. Formula: 1 + ((Req SLA − Avg SLA) × SLA Factor), capped.</t>
  </si>
  <si>
    <t>Factor to update historic benchmark prices to today's level. = Current Index ÷ Avg Historic Index. &gt; 1.0 = costs have risen; benchmark is uplifted.</t>
  </si>
  <si>
    <t>The benchmark after all five adjustments. This is the fair comparison price for this quote: Selected Benchmark × Volume × Spec × Location × SLA × Index.</t>
  </si>
  <si>
    <t>Total cost of the quote: (Unit Price + Delivery + Implementation + Support + Risk − Discount) × Quantity.</t>
  </si>
  <si>
    <t>Total cost using the adjusted benchmark price in place of the quoted unit price.</t>
  </si>
  <si>
    <t>Quoted Unit Price minus Final Adjusted Benchmark. Positive = supplier is more expensive than benchmark. Negative = cheaper.</t>
  </si>
  <si>
    <t>Unit price variance as a percentage of the adjusted benchmark price.</t>
  </si>
  <si>
    <t>Quoted Total Cost minus Benchmark Total Cost over the full quantity. Positive = savings opportunity. Negative = quote beats benchmark.</t>
  </si>
  <si>
    <t>Product of all five adjustment factors (AN × AO × AP × AQ × AR). Shows the total multiplier applied to the raw benchmark to reach the final adjusted benchmark. E.g. 0.94 means the combined adjustments reduced the benchmark by 6%.</t>
  </si>
  <si>
    <t>Categorical confidence in the benchmark based on Total Data Points (col Y). HIGH = 10+ data points. MEDIUM = 6–9. LOW = 3–5. INSUFFICIENT = below minimum. Lower confidence = treat the benchmark as indicative, not definitive.</t>
  </si>
  <si>
    <t>D001</t>
  </si>
  <si>
    <t>Supplier A</t>
  </si>
  <si>
    <t>Q-1001</t>
  </si>
  <si>
    <t>D002</t>
  </si>
  <si>
    <t>Supplier C</t>
  </si>
  <si>
    <t>Q-2055</t>
  </si>
  <si>
    <t>D003</t>
  </si>
  <si>
    <t>Supplier D</t>
  </si>
  <si>
    <t>Q-3021</t>
  </si>
  <si>
    <t>D004</t>
  </si>
  <si>
    <t>Supplier E</t>
  </si>
  <si>
    <t>Q-4099</t>
  </si>
  <si>
    <t>D005</t>
  </si>
  <si>
    <t>Supplier F</t>
  </si>
  <si>
    <t>Q-5100</t>
  </si>
  <si>
    <t>Adjustment Formula Guide – How Each Adjustment Factor Works</t>
  </si>
  <si>
    <t>Adjustment Factor</t>
  </si>
  <si>
    <t>Plain-English Explanation</t>
  </si>
  <si>
    <t>Excel Formula Pattern (Pricing Calc col)</t>
  </si>
  <si>
    <t>When Is It &gt; 1.0?</t>
  </si>
  <si>
    <t>When Is It &lt; 1.0?</t>
  </si>
  <si>
    <t>Volume Adjustment
(Column AN)</t>
  </si>
  <si>
    <t>Accounts for the fact that buying more usually costs less per unit.
It uses a power curve: (Your Quantity ÷ Benchmark Reference Quantity) ^ (−Volume Elasticity).
The Benchmark Reference Quantity (col AG) is the weighted average quantity from all matching benchmark rows. If you are buying 100 units and the benchmark average was 50 units, you get a discount.
The factor is always capped between Volume Min Factor (0.85) and Volume Max Factor (1.15) to prevent extreme adjustments.</t>
  </si>
  <si>
    <t>Pattern: MAX(volumeminfactor, MIN(volumemaxfactor,
 POWER(quantity / benchmarkrefqty, −VolumeElasticity)))
Settings used: B7 (Elasticity), B8 (Min), B9 (Max)
Cells: F (qty), AG (ref qty))))</t>
  </si>
  <si>
    <t>Your quantity is SMALLER than the benchmark average.
You are buying fewer units, so the benchmark is uplifted
to reflect the higher unit cost at lower volumes.</t>
  </si>
  <si>
    <t>Your quantity is LARGER than the benchmark average.
You are buying more, so the benchmark is reduced
to reflect the volume discount you should receive.</t>
  </si>
  <si>
    <t>Specification Adjustment
(Column AO)</t>
  </si>
  <si>
    <t>Accounts for the fact that a higher-specification product or service should cost more than a lower one.
It compares your Requested Spec Score (col J) to the Benchmark Average Spec Score (col AH), which is the weighted average of all the spec scores in the benchmark data.
Each 1-point difference changes the benchmark by the Specification Score Factor (default 0.03 = 3%).
Example: Your spec score = 8.0, benchmark average = 6.5. Difference = 1.5. Adjustment = 1 + (1.5 × 0.03) = 1.045. The benchmark is uplifted by 4.5%.</t>
  </si>
  <si>
    <t>Pattern: MAX(specminfactor, MIN(specmaxfactor,
 1 + ((reqspecscore − BenchAvgSpecScore) × SpecFactor)))
Settings used: B11 (Factor), B12 (Min), B13 (Max)
Cells: J (req spec), AH (avg spec)))))</t>
  </si>
  <si>
    <t>Your requested spec score is HIGHER than the
benchmark average. The supplier is being asked
for something better, so the benchmark is raised.</t>
  </si>
  <si>
    <t>Your requested spec score is LOWER than the
benchmark average. You are asking for less,
so the benchmark is reduced.</t>
  </si>
  <si>
    <t>Location Adjustment
(Column AP)</t>
  </si>
  <si>
    <t>Accounts for geographic cost differences between where you are buying and where the historical prices were recorded.
It divides the Target Location Index (col AI – your delivery location's cost index) by the Benchmark Average Location Index (col AJ – the weighted average location index of all benchmark data points).
All location indices are stored in the Location Index Table. UK = 1.00 (baseline). London = 1.07 means London is 7% more expensive.
Example: You are buying in London (index 1.07), benchmark average location index = 1.02. Adjustment = 1.07 ÷ 1.02 = 1.049. The benchmark is uplifted by 4.9% for London costs.</t>
  </si>
  <si>
    <t>Pattern: targetlocationindex ÷ BenchmarkAvgLocationIndex
Cells: AI (target location index via VLOOKUP),
AJ (weighted avg location index from benchmark rows)</t>
  </si>
  <si>
    <t>Your target location has a HIGHER cost index
than the benchmark average locations.
The benchmark is uplifted for the more expensive location.</t>
  </si>
  <si>
    <t>Your target location has a LOWER cost index
than the benchmark average. You are buying
in a cheaper location, so the benchmark is reduced.</t>
  </si>
  <si>
    <t>SLA / Service Level Adjustment
(Column AQ)</t>
  </si>
  <si>
    <t>Accounts for differences in service quality between your requirement and the benchmark average.
It compares your Requested SLA Score (col L) to the Benchmark Average SLA Score (col AK).
Each 1-point difference changes the benchmark by the Service Level Score Factor (default 0.025 = 2.5%).
Example: You need a Premium SLA (score 8), benchmark average = 5. Adjustment = 1 + ((8 − 5) × 0.025) = 1.075. The benchmark is uplifted by 7.5%.
This prevents the dashboard from showing a false savings opportunity when you are buying a better service.</t>
  </si>
  <si>
    <t>Pattern: MAX(slaminfactor, MIN(slamaxfactor,
 1 + ((reqslascore − BenchAvgSLAScore) × SLAFactor)))
Settings used: B15 (Factor), B16 (Min), B17 (Max)
Cells: L (req SLA), AK (avg SLA)))))</t>
  </si>
  <si>
    <t>Your required SLA score is HIGHER than the
benchmark average. Premium service costs more,
so the benchmark is uplifted.</t>
  </si>
  <si>
    <t>Your required SLA score is LOWER than the
benchmark average. Basic service costs less,
so the benchmark is reduced.</t>
  </si>
  <si>
    <t>Inflation / Index Adjustment
(Column AR)</t>
  </si>
  <si>
    <t>Updates historical benchmark prices to current market levels using a price index.
It divides the Current Index Value (col AL, from the Index Table) by the Benchmark Average Historic Index Value (col AM, the weighted average of the index value at the time each benchmark price was recorded).
Example: Historical benchmark prices were recorded when the IT Hardware index was 105 on average. The current index is 112. Adjustment = 112 ÷ 105 = 1.067. The benchmark is uplifted by 6.7% to account for cost increases since then.
You update the current index values in the Index Table sheet as market conditions change.</t>
  </si>
  <si>
    <t>Pattern: currentindexvalue ÷ BenchmarkAvgHistoricIndexValue
Cells: AL (current index via VLOOKUP from Index Table),
AM (weighted avg historic index from benchmark rows)</t>
  </si>
  <si>
    <t>The current index is HIGHER than the historic
average when the benchmark prices were recorded.
Costs have risen; the benchmark is uplifted.</t>
  </si>
  <si>
    <t>The current index is LOWER than the historic
average. Costs have fallen; the benchmark
is reduced to reflect cheaper market prices.</t>
  </si>
  <si>
    <t>Final Adjusted Benchmark
(Column AS)</t>
  </si>
  <si>
    <t>Multiplies the Selected Benchmark Price by all five adjustment factors.
AS = AF × AN × AO × AP × AQ × AR
This is the single fair comparison price for this specific quote, normalised for quantity, specification, location, service level, and inflation.
It is blank if the total data point count (col Y) is below the minimum in Benchmark Settings.</t>
  </si>
  <si>
    <t>Pattern: selectedbenchmarkprice (af)
  × VolumeAdj (AN)
  × SpecAdj (AO)
  × LocationAdj (AP)
  × SLAAdj (AQ)
  × InflationAdj (AR)</t>
  </si>
  <si>
    <t>N/A – this is the output of the five adjustments,
not an adjustment itself.</t>
  </si>
  <si>
    <t>N/A – interpret via the Unit Price Variance
(col AV) and Total Cost Gap (col AX).</t>
  </si>
  <si>
    <t>Formula Map – Every Auto-Calculated Column Explained</t>
  </si>
  <si>
    <t>ID</t>
  </si>
  <si>
    <t>Column Name</t>
  </si>
  <si>
    <t>Col Ref</t>
  </si>
  <si>
    <t>Full Formula (first data row = row 5)</t>
  </si>
  <si>
    <t>Data Sources Required</t>
  </si>
  <si>
    <t>What the result tells you</t>
  </si>
  <si>
    <t>F001</t>
  </si>
  <si>
    <t>W</t>
  </si>
  <si>
    <t>Pattern: COUNTIFS('Internal Benchmark Data'!$B:$B,$B5,'Internal Benchmark Data'!$F:$F,$G5,'Internal Benchmark Data'!$G:$G,$H5,'Internal Benchmark Data'!$R:$R,"Yes")</t>
  </si>
  <si>
    <t>Item Name (col B), UOM (col G), Currency (col H) from Pricing Calc; Include flag (col R) from Internal Benchmark Data</t>
  </si>
  <si>
    <t>How many of your own organisation's historical prices exist for this item/UOM/currency. A low number means the benchmark is relying more on external data.</t>
  </si>
  <si>
    <t>F002</t>
  </si>
  <si>
    <t>X</t>
  </si>
  <si>
    <t>Pattern: COUNTIFS('External DB Benchmark Extract'!$B:$B,$B5,'External DB Benchmark Extract'!$F:$F,$G5,'External DB Benchmark Extract'!$G:$G,$H5,'External DB Benchmark Extract'!$R:$R,"Yes")</t>
  </si>
  <si>
    <t>Same fields from External DB Benchmark Extract</t>
  </si>
  <si>
    <t>How many external data points (market data, spend warehouse) are included. Together with F001, this tells you where the benchmark evidence comes from.</t>
  </si>
  <si>
    <t>F003</t>
  </si>
  <si>
    <t>Y</t>
  </si>
  <si>
    <t>Pattern: $W5+$X5</t>
  </si>
  <si>
    <t>W (internal) + X (external)</t>
  </si>
  <si>
    <t>Total evidence behind the benchmark. If this is below the Minimum in Benchmark Settings (default 3), all benchmark columns will be blank to prevent unreliable outputs.</t>
  </si>
  <si>
    <t>F004</t>
  </si>
  <si>
    <t>Z</t>
  </si>
  <si>
    <t>Pattern: SUMPRODUCT((internal rows match B5/G5/H5/"Yes")*price*weight)</t>
  </si>
  <si>
    <t>Raw Unit Price, Source Weight from Internal Benchmark Data</t>
  </si>
  <si>
    <t>The numerator for the internal component of the weighted average. Price × quality weight for every matching internal row, summed together.</t>
  </si>
  <si>
    <t>F005</t>
  </si>
  <si>
    <t>AA</t>
  </si>
  <si>
    <t>Pattern: SUMPRODUCT((external rows match B5/G5/H5/"Yes")*price*weight)</t>
  </si>
  <si>
    <t>Raw Unit Price, Source Weight from External DB Benchmark Extract</t>
  </si>
  <si>
    <t>The numerator for the external component of the weighted average. Same logic as F004 but for external rows.</t>
  </si>
  <si>
    <t>F006</t>
  </si>
  <si>
    <t>AB</t>
  </si>
  <si>
    <t>Pattern: SUMPRODUCT(internal match * weight) + SUMPRODUCT(external match * weight)</t>
  </si>
  <si>
    <t>Source Weight from both data sheets</t>
  </si>
  <si>
    <t>Denominator for the weighted average. The sum of all weights for matching rows across both sheets. Used in all weighted average calculations.</t>
  </si>
  <si>
    <t>F007</t>
  </si>
  <si>
    <t>Simple Average</t>
  </si>
  <si>
    <t>AC</t>
  </si>
  <si>
    <t>Pattern: IF(Y5&lt;mindp,"", ROUND((SUMIFS(int prices) + SUMIFS(ext prices)) / Y5, 2))</t>
  </si>
  <si>
    <t>Raw Unit Price from both sheets; Y for count</t>
  </si>
  <si>
    <t>An unweighted average – every data point counts equally. Simpler than weighted average but gives equal credence to low and high quality sources.</t>
  </si>
  <si>
    <t>F008</t>
  </si>
  <si>
    <t>AD</t>
  </si>
  <si>
    <t>Pattern: IF(Y5&lt;mindp,"", ROUND((Z5+AA5)/AB5, 2))</t>
  </si>
  <si>
    <t>Z (int weighted sum), AA (ext weighted sum), AB (total weight)</t>
  </si>
  <si>
    <t>The default benchmark method. Higher-weight sources (more trusted/recent) have more influence on the result. Uses the Source Weight column in both data sheets.</t>
  </si>
  <si>
    <t>F009</t>
  </si>
  <si>
    <t>AE</t>
  </si>
  <si>
    <t>Pattern: IF(Y5&lt;mindp,"", ROUND(MEDIAN(IF(matching internal rows, prices)), 2))</t>
  </si>
  <si>
    <t>Raw Unit Price from both sheets (array formula)</t>
  </si>
  <si>
    <t>The middle price when all matching prices are sorted. Useful when the data contains outliers that would skew an average. Note: this formula requires a modern version of Excel.</t>
  </si>
  <si>
    <t>F010</t>
  </si>
  <si>
    <t>Selected Benchmark</t>
  </si>
  <si>
    <t>AF</t>
  </si>
  <si>
    <t>Pattern: IF(Y5&lt;mindp,"", IF(method="Simple Average",AC5, IF(method="Median",AE5,AD5)))</t>
  </si>
  <si>
    <t>Benchmark Settings B5 (Method); AC, AD, AE</t>
  </si>
  <si>
    <t>Picks the correct benchmark price based on the method selected in Benchmark Settings. This is the raw benchmark before any adjustments.</t>
  </si>
  <si>
    <t>F011</t>
  </si>
  <si>
    <t>Benchmark Ref Qty</t>
  </si>
  <si>
    <t>AG</t>
  </si>
  <si>
    <t>Pattern: IF(Y5&lt;mindp,"", ROUND((SUMPRODUCT(int match*histqty*wt)+SUMPRODUCT(ext match*histqty*wt))/AB5, 2))</t>
  </si>
  <si>
    <t>Historical Quantity, Source Weight from both sheets</t>
  </si>
  <si>
    <t>The weighted average historical quantity across all matching benchmark rows. This is the 'normal' order size in the benchmark data, used to calculate the volume adjustment.</t>
  </si>
  <si>
    <t>F012</t>
  </si>
  <si>
    <t>Benchmark Avg Spec</t>
  </si>
  <si>
    <t>AH</t>
  </si>
  <si>
    <t>Pattern: IF(Y5&lt;mindp,"", ROUND((SUMPRODUCT(int match*specscore*wt)+SUMPRODUCT(ext match*specscore*wt))/AB5, 2))</t>
  </si>
  <si>
    <t>Specification Score, Source Weight from both sheets</t>
  </si>
  <si>
    <t>The average specification level of the benchmark evidence. Compared to your Requested Spec Score to calculate the spec adjustment.</t>
  </si>
  <si>
    <t>F013</t>
  </si>
  <si>
    <t>Target Loc. Index</t>
  </si>
  <si>
    <t>AI</t>
  </si>
  <si>
    <t>Pattern: IFERROR(VLOOKUP(I5,'Location Index Table'!$A:$C,3,FALSE()), defaultlocationindex)
Note: Column 3 of Location Index Table = Location Cost Index (col A = Name, col B = Type, col C = Index).
The formula falls back to Benchmark Settings B19 (Default Location Index = 1.0) if the location is not found.</t>
  </si>
  <si>
    <t>Location (col I); Location Index Table</t>
  </si>
  <si>
    <t>The cost index for your target delivery location. Looked up from the Location Index Table. If not found, the default index (1.0) is used.</t>
  </si>
  <si>
    <t>F014</t>
  </si>
  <si>
    <t>AJ</t>
  </si>
  <si>
    <t>Pattern: IF(Y5&lt;mindp,"", ROUND((SUMPRODUCT(int match*locidx*wt)+SUMPRODUCT(ext match*locidx*wt))/AB5, 4))</t>
  </si>
  <si>
    <t>Location Cost Index, Source Weight from both sheets</t>
  </si>
  <si>
    <t>The weighted average location cost index across all benchmark rows. Represents the average geographic cost profile of the benchmark evidence.</t>
  </si>
  <si>
    <t>F015</t>
  </si>
  <si>
    <t>Benchmark Avg SLA</t>
  </si>
  <si>
    <t>AK</t>
  </si>
  <si>
    <t>Pattern: IF(Y5&lt;mindp,"", ROUND((SUMPRODUCT(int match*slascore*wt)+SUMPRODUCT(ext match*slascore*wt))/AB5, 2))</t>
  </si>
  <si>
    <t>SLA Score, Source Weight from both sheets</t>
  </si>
  <si>
    <t>The average service level of the benchmark evidence. Compared to your Requested SLA Score to calculate the service level adjustment.</t>
  </si>
  <si>
    <t>F016</t>
  </si>
  <si>
    <t>Current Index</t>
  </si>
  <si>
    <t>AL</t>
  </si>
  <si>
    <t>Pattern: IFERROR(VLOOKUP(M5,'Index Table'!$A:$C,3,FALSE()), defaultcurrentindex)</t>
  </si>
  <si>
    <t>Index ID (col M); Index Table sheet</t>
  </si>
  <si>
    <t>The current value of the price index for this item's category. Looked up from the Index Table. You should update this table regularly.</t>
  </si>
  <si>
    <t>F017</t>
  </si>
  <si>
    <t>Bench. Avg Historic Index</t>
  </si>
  <si>
    <t>AM</t>
  </si>
  <si>
    <t>Pattern: IF(Y5&lt;mindp,"", ROUND((SUMPRODUCT(int match*histidx*wt)+SUMPRODUCT(ext match*histidx*wt))/AB5, 2))</t>
  </si>
  <si>
    <t>Index Value At Price Date, Source Weight from both sheets</t>
  </si>
  <si>
    <t>The weighted average of the price index at the time each benchmark price was recorded. Compared to the current index (AL) to calculate inflation adjustment.</t>
  </si>
  <si>
    <t>F018</t>
  </si>
  <si>
    <t>AN</t>
  </si>
  <si>
    <t>Pattern: IF(Y5&lt;mindp,"", MAX(volmin, MIN(volmax, POWER(F5/AG5, -volelasticity))))</t>
  </si>
  <si>
    <t>Quantity (F), Benchmark Ref Qty (AG), Benchmark Settings B7/B8/B9</t>
  </si>
  <si>
    <t>Adjusts the benchmark for quantity scale. Capped by Volume Min/Max in Settings. 1.0 = no adjustment needed.</t>
  </si>
  <si>
    <t>F019</t>
  </si>
  <si>
    <t>AO</t>
  </si>
  <si>
    <t>Pattern: IF(Y5&lt;mindp,"", MAX(specmin, MIN(specmax, 1+((J5-AH5)*specfactor))))</t>
  </si>
  <si>
    <t>Req Spec Score (J), Benchmark Avg Spec (AH), Settings B12/B13/B14</t>
  </si>
  <si>
    <t>Adjusts the benchmark for specification difference. Each 1-point gap = SpecFactor change. Capped. 1.0 = specs match.</t>
  </si>
  <si>
    <t>F020</t>
  </si>
  <si>
    <t>AP</t>
  </si>
  <si>
    <t>Pattern: IF(Y5&lt;mindp,"", ROUND(AI5/AJ5, 4))</t>
  </si>
  <si>
    <t>Target Loc Index (AI), Benchmark Avg Loc Index (AJ)</t>
  </si>
  <si>
    <t>Adjusts benchmark to the target delivery location. 1.0 = location matches benchmark average.</t>
  </si>
  <si>
    <t>F021</t>
  </si>
  <si>
    <t>AQ</t>
  </si>
  <si>
    <t>Pattern: IF(Y5&lt;mindp,"", MAX(slamin, MIN(slamax, 1+((L5-AK5)*slafactor))))</t>
  </si>
  <si>
    <t>Req SLA Score (L), Benchmark Avg SLA (AK), Settings B17/B18/B19</t>
  </si>
  <si>
    <t>Adjusts for service level difference. Each 1-point gap = SLAFactor change. Capped. 1.0 = SLA matches.</t>
  </si>
  <si>
    <t>F022</t>
  </si>
  <si>
    <t>Inflation Adjustment</t>
  </si>
  <si>
    <t>AR</t>
  </si>
  <si>
    <t>Pattern: IF(Y5&lt;mindp,"", ROUND(AL5/AM5, 4))</t>
  </si>
  <si>
    <t>Current Index (AL), Bench Avg Historic Index (AM)</t>
  </si>
  <si>
    <t>Uplifts (or reduces) historical prices to current market level. 1.0 = no change in market costs.</t>
  </si>
  <si>
    <t>F023</t>
  </si>
  <si>
    <t>Final Adj. Benchmark</t>
  </si>
  <si>
    <t>AS</t>
  </si>
  <si>
    <t>Pattern: IF(Y5&lt;mindp,"", ROUND(AF5*AN5*AO5*AP5*AQ5*AR5, 2))</t>
  </si>
  <si>
    <t>AF (selected benchmark), AN-AR (five adjustment factors)</t>
  </si>
  <si>
    <t>The fair comparison price after all adjustments. This is what the supplier's price is measured against.</t>
  </si>
  <si>
    <t>F024</t>
  </si>
  <si>
    <t>Quoted Total Cost</t>
  </si>
  <si>
    <t>AT</t>
  </si>
  <si>
    <t>Pattern: (N5+O5+P5+Q5+R5-S5)*F5</t>
  </si>
  <si>
    <t>Quoted Unit Price (N), all cost adders (O-R), Discount (S), Quantity (F)</t>
  </si>
  <si>
    <t>Total cost of the quote across all cost components and the full quantity. Comparable to Benchmark Total Cost.</t>
  </si>
  <si>
    <t>F025</t>
  </si>
  <si>
    <t>Benchmark Total Cost</t>
  </si>
  <si>
    <t>AU</t>
  </si>
  <si>
    <t>Pattern: IF(AS5="","", AS5*F5+O5+P5+Q5+R5-S5)</t>
  </si>
  <si>
    <t>Final Adj Benchmark (AS), cost adders, Quantity (F)</t>
  </si>
  <si>
    <t>What the total cost would be if you paid the adjusted benchmark unit price instead of the quoted price.</t>
  </si>
  <si>
    <t>F026</t>
  </si>
  <si>
    <t>Unit Price Variance £</t>
  </si>
  <si>
    <t>AV</t>
  </si>
  <si>
    <t>Pattern: IF(AS5="","", ROUND(N5-AS5,2))</t>
  </si>
  <si>
    <t>Quoted Unit Price (N), Final Adj Benchmark (AS)</t>
  </si>
  <si>
    <t>Positive = supplier's price is above benchmark (you are paying more). Negative = supplier is below benchmark. Key negotiation metric.</t>
  </si>
  <si>
    <t>F027</t>
  </si>
  <si>
    <t>Unit Price Variance %</t>
  </si>
  <si>
    <t>AW</t>
  </si>
  <si>
    <t>Pattern: IF(AS5="","", IFERROR(ROUND(AV5/AS5,4),""))</t>
  </si>
  <si>
    <t>AV (variance £), AS (benchmark)</t>
  </si>
  <si>
    <t>The unit price gap as a percentage of the adjusted benchmark. Positive % = opportunity to negotiate.</t>
  </si>
  <si>
    <t>F028</t>
  </si>
  <si>
    <t>Total Cost Gap £</t>
  </si>
  <si>
    <t>AX</t>
  </si>
  <si>
    <t>Pattern: IF(AU5="","", ROUND(AT5-AU5,0))</t>
  </si>
  <si>
    <t>AT (quoted total), AU (benchmark total)</t>
  </si>
  <si>
    <t>The total commercial gap over the full quantity. Positive = total overpayment vs benchmark. This is the savings opportunity number.</t>
  </si>
  <si>
    <t>Benchmark Summary Dashboard</t>
  </si>
  <si>
    <t>Metric</t>
  </si>
  <si>
    <t>How it is calculated</t>
  </si>
  <si>
    <t>Item</t>
  </si>
  <si>
    <t>Benchmark Status</t>
  </si>
  <si>
    <t>Total deals / quote lines</t>
  </si>
  <si>
    <t>Counts non-blank Deal IDs in Pricing Calculation (col A, rows 5–500).</t>
  </si>
  <si>
    <t>Counts non-blank Deal IDs in the Pricing Calculation sheet.</t>
  </si>
  <si>
    <t>Total benchmark data points used</t>
  </si>
  <si>
    <t>Sums the Total Data Points column (col Y) across all deal lines.</t>
  </si>
  <si>
    <t>Sum of Total Data Points (col Y) across all deals.</t>
  </si>
  <si>
    <t>External DB data points used</t>
  </si>
  <si>
    <t>Sums the External Data Points column (col X) — shows how much of the benchmark relies on external vs internal data.</t>
  </si>
  <si>
    <t>Sum of External Data Points (col X) – shows reliance on external data.</t>
  </si>
  <si>
    <t>Total saving opportunity (£)</t>
  </si>
  <si>
    <t>Sums all positive Total Cost Gaps (col AX &gt; 0) — lines where the supplier's quote exceeds the benchmark. This is the gross negotiation opportunity.</t>
  </si>
  <si>
    <t>Total positive cost gap (£) across all lines – lines where quoted cost exceeds benchmark.</t>
  </si>
  <si>
    <t>Average benchmark gap %</t>
  </si>
  <si>
    <t>Averages the Unit Price Variance % (col AW) for all lines that have a benchmark. Excludes lines with no benchmark.</t>
  </si>
  <si>
    <t>Average unit price variance % across all lines with a benchmark.</t>
  </si>
  <si>
    <t>Lines above benchmark</t>
  </si>
  <si>
    <t>Counts lines where the quoted total cost (col AT) exceeds the benchmark total cost (col AU).</t>
  </si>
  <si>
    <t>Number of lines where the quoted total cost exceeds the benchmark total cost.</t>
  </si>
  <si>
    <t>Lines below benchmark</t>
  </si>
  <si>
    <t>Counts lines where the quoted total cost is below the benchmark — the supplier is competitive on price.</t>
  </si>
  <si>
    <t>Number of lines where the quoted total cost is below the benchmark – supplier is competitive.</t>
  </si>
  <si>
    <t>Lines with insufficient data</t>
  </si>
  <si>
    <t>Counts lines where Total Data Points (col Y) is below the Minimum in Benchmark Settings — no benchmark is shown for these lines.</t>
  </si>
  <si>
    <t>Lines where the total data point count is below 3 – no benchmark shown.</t>
  </si>
  <si>
    <t>Total competitive value (£)</t>
  </si>
  <si>
    <t>Sums all negative Total Cost Gaps (col AX &lt; 0) — lines where supplier is already below benchmark. This is the value at risk if supplier seeks a price increase.</t>
  </si>
  <si>
    <t>Highest overprice variance %</t>
  </si>
  <si>
    <t>The largest positive Unit Price Variance % (col AW) across all deals — identifies the highest-priority line for negotiation.</t>
  </si>
  <si>
    <t>Lines with HIGH confidence benchmark</t>
  </si>
  <si>
    <t>Count of lines where Benchmark Confidence (col AZ) = HIGH (10+ data points).</t>
  </si>
  <si>
    <t>Lines with MEDIUM confidence benchmark</t>
  </si>
  <si>
    <t>Count of lines where Benchmark Confidence = MEDIUM (6–9 data points).</t>
  </si>
  <si>
    <t>Lines with LOW confidence benchmark</t>
  </si>
  <si>
    <t>Count of lines where Benchmark Confidence = LOW (3–5 data points). Treat these outputs as indicative only.</t>
  </si>
  <si>
    <t>Analysis Metadata – Complete before sharing this workbook</t>
  </si>
  <si>
    <t>Analysis Date</t>
  </si>
  <si>
    <t>Enter date of analysis (DD/MM/YYYY)</t>
  </si>
  <si>
    <t>Prepared By</t>
  </si>
  <si>
    <t>Name of analyst who ran this analysis</t>
  </si>
  <si>
    <t>Reviewed By</t>
  </si>
  <si>
    <t>Name of reviewer / approver</t>
  </si>
  <si>
    <t>Workbook Version</t>
  </si>
  <si>
    <t>Version number from Change Log</t>
  </si>
  <si>
    <t>RFQ / Tender Reference</t>
  </si>
  <si>
    <t>Reference number for this exercise</t>
  </si>
  <si>
    <t>Notes / Caveats</t>
  </si>
  <si>
    <t>Any context or caveats a reader should 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</si>
</sst>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yyyy\-mm\-dd"/>
    <numFmt numFmtId="166" formatCode="0.0"/>
    <numFmt numFmtId="167" formatCode="0.0000"/>
    <numFmt numFmtId="168" formatCode="0.0%"/>
    <numFmt numFmtId="169" formatCode="\£#,##0"/>
  </numFmts>
  <fonts count="26">
    <font>
      <sz val="11"/>
      <color theme="1"/>
      <name val="Calibri"/>
      <family val="2"/>
      <charset val="1"/>
    </font>
    <font>
      <b/>
      <sz val="13"/>
      <color rgb="FFFFFFFF"/>
      <name val="Arial"/>
      <charset val="1"/>
    </font>
    <font>
      <b/>
      <sz val="10"/>
      <color rgb="FFFFFFFF"/>
      <name val="Arial"/>
      <charset val="1"/>
    </font>
    <font>
      <sz val="10"/>
      <color rgb="FF000000"/>
      <name val="Arial"/>
      <charset val="1"/>
    </font>
    <font>
      <b/>
      <sz val="11"/>
      <color rgb="FFFFFFFF"/>
      <name val="Arial"/>
      <charset val="1"/>
    </font>
    <font>
      <b/>
      <sz val="9"/>
      <color rgb="FFFFFFFF"/>
      <name val="Arial"/>
      <charset val="1"/>
    </font>
    <font>
      <sz val="10"/>
      <color rgb="FF0000FF"/>
      <name val="Arial"/>
      <charset val="1"/>
    </font>
    <font>
      <b/>
      <sz val="10"/>
      <color rgb="FF0000FF"/>
      <name val="Arial"/>
      <charset val="1"/>
    </font>
    <font>
      <i/>
      <sz val="9"/>
      <color rgb="FF404040"/>
      <name val="Arial"/>
      <charset val="1"/>
    </font>
    <font>
      <b/>
      <sz val="9"/>
      <color rgb="FF0000FF"/>
      <name val="Arial"/>
      <charset val="1"/>
    </font>
    <font>
      <b/>
      <sz val="9"/>
      <color rgb="FF000000"/>
      <name val="Arial"/>
      <charset val="1"/>
    </font>
    <font>
      <i/>
      <sz val="8"/>
      <color rgb="FF404040"/>
      <name val="Arial"/>
      <charset val="1"/>
    </font>
    <font>
      <sz val="9"/>
      <color rgb="FF000000"/>
      <name val="Arial"/>
      <charset val="1"/>
    </font>
    <font>
      <b/>
      <sz val="12"/>
      <color rgb="FFFFFFFF"/>
      <name val="Arial"/>
      <charset val="1"/>
    </font>
    <font>
      <b/>
      <sz val="11"/>
      <color rgb="FF000000"/>
      <name val="Arial"/>
      <charset val="1"/>
    </font>
    <font>
      <b/>
      <sz val="10"/>
      <color rgb="FFFFFFFF"/>
      <name val="Calibri"/>
    </font>
    <font>
      <sz val="10"/>
      <color rgb="FF555555"/>
      <name val="Calibri"/>
    </font>
    <font>
      <sz val="10"/>
      <color rgb="FF000000"/>
      <name val="Calibri"/>
    </font>
    <font>
      <b/>
      <sz val="10"/>
      <color rgb="FF1A1A1A"/>
      <name val="Calibri"/>
    </font>
    <font>
      <sz val="10"/>
      <color rgb="FF5C4400"/>
      <name val="Calibri"/>
    </font>
    <font>
      <sz val="10"/>
      <color rgb="FF444444"/>
      <name val="Calibri"/>
    </font>
    <font>
      <sz val="10"/>
      <color rgb="FF7B4A00"/>
      <name val="Calibri"/>
    </font>
    <font>
      <sz val="10"/>
      <color rgb="FFC0392B"/>
      <name val="Calibri"/>
    </font>
    <font>
      <sz val="10"/>
      <color rgb="FF1A5C1A"/>
      <name val="Calibri"/>
    </font>
    <font>
      <sz val="10"/>
      <color rgb="FF1A1A1A"/>
      <name val="Calibri"/>
    </font>
    <font>
      <b/>
      <sz val="11"/>
      <color rgb="FFFFFFFF"/>
      <name val="Calibri"/>
    </font>
  </fonts>
  <fills count="27">
    <fill>
      <patternFill patternType="none"/>
    </fill>
    <fill>
      <patternFill patternType="gray125"/>
    </fill>
    <fill>
      <patternFill patternType="solid">
        <fgColor rgb="FF1F4E5F"/>
        <bgColor rgb="FF2E4057"/>
      </patternFill>
    </fill>
    <fill>
      <patternFill patternType="solid">
        <fgColor rgb="FF2E75B6"/>
        <bgColor rgb="FF0066CC"/>
      </patternFill>
    </fill>
    <fill>
      <patternFill patternType="solid">
        <fgColor rgb="FFFFFCE6"/>
        <bgColor rgb="FFF9F9F9"/>
      </patternFill>
    </fill>
    <fill>
      <patternFill patternType="solid">
        <fgColor rgb="FF2E4057"/>
        <bgColor rgb="FF404040"/>
      </patternFill>
    </fill>
    <fill>
      <patternFill patternType="solid">
        <fgColor rgb="FFD6E4F7"/>
        <bgColor rgb="FFE2EFDA"/>
      </patternFill>
    </fill>
    <fill>
      <patternFill patternType="solid">
        <fgColor rgb="FFEBF3FB"/>
        <bgColor rgb="FFF2F2F2"/>
      </patternFill>
    </fill>
    <fill>
      <patternFill patternType="solid">
        <fgColor rgb="FFFFFFFF"/>
        <bgColor rgb="FFF9F9F9"/>
      </patternFill>
    </fill>
    <fill>
      <patternFill patternType="solid">
        <fgColor rgb="FFF9F9F9"/>
        <bgColor rgb="FFFFFFFF"/>
      </patternFill>
    </fill>
    <fill>
      <patternFill patternType="solid">
        <fgColor rgb="FF7F6000"/>
        <bgColor rgb="FF843C0C"/>
      </patternFill>
    </fill>
    <fill>
      <patternFill patternType="solid">
        <fgColor rgb="FF375623"/>
        <bgColor rgb="FF404040"/>
      </patternFill>
    </fill>
    <fill>
      <patternFill patternType="solid">
        <fgColor rgb="FF843C0C"/>
        <bgColor rgb="FF7F6000"/>
      </patternFill>
    </fill>
    <fill>
      <patternFill patternType="solid">
        <fgColor rgb="FFFFF2CC"/>
        <bgColor rgb="FFFCE4D6"/>
      </patternFill>
    </fill>
    <fill>
      <patternFill patternType="solid">
        <fgColor rgb="FFE2EFDA"/>
        <bgColor rgb="FFF2F2F2"/>
      </patternFill>
    </fill>
    <fill>
      <patternFill patternType="solid">
        <fgColor rgb="FFFCE4D6"/>
        <bgColor rgb="FFFFF2CC"/>
      </patternFill>
    </fill>
    <fill>
      <patternFill patternType="solid">
        <fgColor rgb="FF1F4E5F"/>
      </patternFill>
    </fill>
    <fill>
      <patternFill patternType="solid">
        <fgColor rgb="FFEBF3FB"/>
      </patternFill>
    </fill>
    <fill>
      <patternFill patternType="solid">
        <fgColor rgb="FFE8F4EA"/>
      </patternFill>
    </fill>
    <fill>
      <patternFill patternType="solid">
        <fgColor rgb="FFFFF2CC"/>
      </patternFill>
    </fill>
    <fill>
      <patternFill patternType="solid">
        <fgColor rgb="FFF5F5F5"/>
      </patternFill>
    </fill>
    <fill>
      <patternFill patternType="solid">
        <fgColor rgb="FFFFFFFF"/>
      </patternFill>
    </fill>
    <fill>
      <patternFill patternType="solid">
        <fgColor rgb="FFFFDDC1"/>
      </patternFill>
    </fill>
    <fill>
      <patternFill patternType="solid">
        <fgColor rgb="FFE2EFDA"/>
      </patternFill>
    </fill>
    <fill>
      <patternFill patternType="solid">
        <fgColor rgb="FFFFF3CD"/>
      </patternFill>
    </fill>
    <fill>
      <patternFill patternType="solid">
        <fgColor rgb="FF2E75B6"/>
      </patternFill>
    </fill>
    <fill>
      <patternFill patternType="solid">
        <fgColor rgb="FFD6E4F7"/>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90">
    <xf numFmtId="0" fontId="0" fillId="0" borderId="0" xfId="0"/>
    <xf numFmtId="0" fontId="2" fillId="3" borderId="0" xfId="0" applyFont="1" applyFill="1" applyAlignment="1">
      <alignment horizontal="center" vertical="center"/>
    </xf>
    <xf numFmtId="0" fontId="6" fillId="6" borderId="0" xfId="0" applyFont="1" applyFill="1" applyAlignment="1">
      <alignment horizontal="left" vertical="center"/>
    </xf>
    <xf numFmtId="0" fontId="7" fillId="6" borderId="0" xfId="0" applyFont="1" applyFill="1" applyAlignment="1">
      <alignment horizontal="center" vertical="center"/>
    </xf>
    <xf numFmtId="164" fontId="7" fillId="6" borderId="0" xfId="0" applyNumberFormat="1" applyFont="1" applyFill="1" applyAlignment="1">
      <alignment horizontal="center" vertical="center"/>
    </xf>
    <xf numFmtId="0" fontId="2" fillId="2" borderId="0" xfId="0" applyFont="1" applyFill="1" applyAlignment="1">
      <alignment horizontal="left" vertical="center"/>
    </xf>
    <xf numFmtId="0" fontId="3" fillId="8" borderId="0" xfId="0" applyFont="1" applyFill="1" applyAlignment="1">
      <alignment horizontal="left" vertical="center"/>
    </xf>
    <xf numFmtId="2" fontId="3" fillId="8" borderId="0" xfId="0" applyNumberFormat="1" applyFont="1" applyFill="1" applyAlignment="1">
      <alignment horizontal="center" vertical="center"/>
    </xf>
    <xf numFmtId="0" fontId="3" fillId="9" borderId="0" xfId="0" applyFont="1" applyFill="1" applyAlignment="1">
      <alignment horizontal="left" vertical="center"/>
    </xf>
    <xf numFmtId="2" fontId="3" fillId="9" borderId="0" xfId="0" applyNumberFormat="1" applyFont="1" applyFill="1" applyAlignment="1">
      <alignment horizontal="center" vertical="center"/>
    </xf>
    <xf numFmtId="0" fontId="8" fillId="7" borderId="0" xfId="0" applyFont="1" applyFill="1" applyAlignment="1">
      <alignment horizontal="left" vertical="center" wrapText="1"/>
    </xf>
    <xf numFmtId="1" fontId="7" fillId="6" borderId="0" xfId="0" applyNumberFormat="1" applyFont="1" applyFill="1" applyAlignment="1">
      <alignment horizontal="center" vertical="center"/>
    </xf>
    <xf numFmtId="0" fontId="3" fillId="8" borderId="0" xfId="0" applyFont="1" applyFill="1" applyAlignment="1">
      <alignment horizontal="left" vertical="center" wrapText="1"/>
    </xf>
    <xf numFmtId="0" fontId="3" fillId="9" borderId="0" xfId="0" applyFont="1" applyFill="1" applyAlignment="1">
      <alignment horizontal="left" vertical="center" wrapText="1"/>
    </xf>
    <xf numFmtId="0" fontId="8" fillId="7" borderId="0" xfId="0" applyFont="1" applyFill="1" applyAlignment="1">
      <alignment horizontal="left" vertical="top" wrapText="1"/>
    </xf>
    <xf numFmtId="0" fontId="8" fillId="7" borderId="0" xfId="0" applyFont="1" applyFill="1" applyAlignment="1">
      <alignment horizontal="center" vertical="top" wrapText="1"/>
    </xf>
    <xf numFmtId="0" fontId="3" fillId="8" borderId="0" xfId="0" applyFont="1" applyFill="1" applyAlignment="1">
      <alignment horizontal="center" vertical="center"/>
    </xf>
    <xf numFmtId="165" fontId="3" fillId="8" borderId="0" xfId="0" applyNumberFormat="1" applyFont="1" applyFill="1" applyAlignment="1">
      <alignment horizontal="center" vertical="center"/>
    </xf>
    <xf numFmtId="0" fontId="3" fillId="9" borderId="0" xfId="0" applyFont="1" applyFill="1" applyAlignment="1">
      <alignment horizontal="center" vertical="center"/>
    </xf>
    <xf numFmtId="165" fontId="3" fillId="9" borderId="0" xfId="0" applyNumberFormat="1" applyFont="1" applyFill="1" applyAlignment="1">
      <alignment horizontal="center" vertical="center"/>
    </xf>
    <xf numFmtId="0" fontId="9" fillId="6" borderId="0" xfId="0" applyFont="1" applyFill="1" applyAlignment="1">
      <alignment horizontal="center" vertical="center" wrapText="1"/>
    </xf>
    <xf numFmtId="0" fontId="10" fillId="13" borderId="0" xfId="0" applyFont="1" applyFill="1" applyAlignment="1">
      <alignment horizontal="center" vertical="center" wrapText="1"/>
    </xf>
    <xf numFmtId="0" fontId="10" fillId="14" borderId="0" xfId="0" applyFont="1" applyFill="1" applyAlignment="1">
      <alignment horizontal="center" vertical="center" wrapText="1"/>
    </xf>
    <xf numFmtId="0" fontId="10" fillId="15" borderId="0" xfId="0" applyFont="1" applyFill="1" applyAlignment="1">
      <alignment horizontal="center" vertical="center" wrapText="1"/>
    </xf>
    <xf numFmtId="0" fontId="11" fillId="7" borderId="0" xfId="0" applyFont="1" applyFill="1" applyAlignment="1">
      <alignment horizontal="left" vertical="top" wrapText="1"/>
    </xf>
    <xf numFmtId="166" fontId="6" fillId="6" borderId="0" xfId="0" applyNumberFormat="1" applyFont="1" applyFill="1" applyAlignment="1">
      <alignment horizontal="right" vertical="center"/>
    </xf>
    <xf numFmtId="4" fontId="6" fillId="6" borderId="0" xfId="0" applyNumberFormat="1" applyFont="1" applyFill="1" applyAlignment="1">
      <alignment horizontal="right" vertical="center"/>
    </xf>
    <xf numFmtId="1" fontId="3" fillId="13" borderId="0" xfId="0" applyNumberFormat="1" applyFont="1" applyFill="1" applyAlignment="1">
      <alignment horizontal="right" vertical="center"/>
    </xf>
    <xf numFmtId="4" fontId="3" fillId="13" borderId="0" xfId="0" applyNumberFormat="1" applyFont="1" applyFill="1" applyAlignment="1">
      <alignment horizontal="right" vertical="center"/>
    </xf>
    <xf numFmtId="2" fontId="3" fillId="13" borderId="0" xfId="0" applyNumberFormat="1" applyFont="1" applyFill="1" applyAlignment="1">
      <alignment horizontal="right" vertical="center"/>
    </xf>
    <xf numFmtId="167" fontId="3" fillId="13" borderId="0" xfId="0" applyNumberFormat="1" applyFont="1" applyFill="1" applyAlignment="1">
      <alignment horizontal="right" vertical="center"/>
    </xf>
    <xf numFmtId="167" fontId="3" fillId="14" borderId="0" xfId="0" applyNumberFormat="1" applyFont="1" applyFill="1" applyAlignment="1">
      <alignment horizontal="right" vertical="center"/>
    </xf>
    <xf numFmtId="4" fontId="3" fillId="15" borderId="0" xfId="0" applyNumberFormat="1" applyFont="1" applyFill="1" applyAlignment="1">
      <alignment horizontal="right" vertical="center"/>
    </xf>
    <xf numFmtId="168" fontId="3" fillId="15" borderId="0" xfId="0" applyNumberFormat="1" applyFont="1" applyFill="1" applyAlignment="1">
      <alignment horizontal="right" vertical="center"/>
    </xf>
    <xf numFmtId="3" fontId="3" fillId="15" borderId="0" xfId="0" applyNumberFormat="1" applyFont="1" applyFill="1" applyAlignment="1">
      <alignment horizontal="right" vertical="center"/>
    </xf>
    <xf numFmtId="0" fontId="12" fillId="8" borderId="0" xfId="0" applyFont="1" applyFill="1" applyAlignment="1">
      <alignment horizontal="left" vertical="top" wrapText="1"/>
    </xf>
    <xf numFmtId="0" fontId="12" fillId="4" borderId="0" xfId="0" applyFont="1" applyFill="1" applyAlignment="1">
      <alignment horizontal="left" vertical="top" wrapText="1"/>
    </xf>
    <xf numFmtId="0" fontId="14" fillId="15" borderId="0" xfId="0" applyFont="1" applyFill="1" applyAlignment="1">
      <alignment horizontal="center" vertical="center"/>
    </xf>
    <xf numFmtId="0" fontId="3" fillId="6" borderId="0" xfId="0" applyFont="1" applyFill="1" applyAlignment="1">
      <alignment horizontal="right" vertical="center"/>
    </xf>
    <xf numFmtId="1" fontId="3" fillId="13" borderId="0" xfId="0" applyNumberFormat="1" applyFont="1" applyFill="1" applyAlignment="1">
      <alignment horizontal="center" vertical="center"/>
    </xf>
    <xf numFmtId="0" fontId="3" fillId="15" borderId="0" xfId="0" applyFont="1" applyFill="1" applyAlignment="1">
      <alignment horizontal="left" vertical="center"/>
    </xf>
    <xf numFmtId="3" fontId="14" fillId="15" borderId="0" xfId="0" applyNumberFormat="1" applyFont="1" applyFill="1" applyAlignment="1">
      <alignment horizontal="center" vertical="center"/>
    </xf>
    <xf numFmtId="168" fontId="14" fillId="15" borderId="0" xfId="0" applyNumberFormat="1" applyFont="1" applyFill="1" applyAlignment="1">
      <alignment horizontal="center" vertical="center"/>
    </xf>
    <xf numFmtId="0" fontId="15" fillId="16" borderId="1" xfId="0" applyFont="1" applyFill="1" applyBorder="1" applyAlignment="1">
      <alignment horizontal="center" vertical="top" wrapText="1"/>
    </xf>
    <xf numFmtId="0" fontId="3" fillId="8" borderId="1" xfId="0" applyFont="1" applyFill="1" applyBorder="1" applyAlignment="1">
      <alignment horizontal="left" vertical="center"/>
    </xf>
    <xf numFmtId="0" fontId="17" fillId="18" borderId="1" xfId="0" applyFont="1" applyFill="1" applyBorder="1" applyAlignment="1">
      <alignment horizontal="left" vertical="top" wrapText="1"/>
    </xf>
    <xf numFmtId="2" fontId="3" fillId="8" borderId="1" xfId="0" applyNumberFormat="1" applyFont="1" applyFill="1" applyBorder="1" applyAlignment="1">
      <alignment horizontal="center" vertical="center"/>
    </xf>
    <xf numFmtId="0" fontId="3" fillId="9" borderId="1" xfId="0" applyFont="1" applyFill="1" applyBorder="1" applyAlignment="1">
      <alignment horizontal="left" vertical="center"/>
    </xf>
    <xf numFmtId="2" fontId="3" fillId="9" borderId="1" xfId="0" applyNumberFormat="1" applyFont="1" applyFill="1" applyBorder="1" applyAlignment="1">
      <alignment horizontal="center" vertical="center"/>
    </xf>
    <xf numFmtId="0" fontId="18" fillId="19" borderId="1" xfId="0" applyFont="1" applyFill="1" applyBorder="1" applyAlignment="1">
      <alignment horizontal="center" vertical="top" wrapText="1"/>
    </xf>
    <xf numFmtId="4" fontId="19" fillId="19" borderId="1" xfId="0" applyNumberFormat="1" applyFont="1" applyFill="1" applyBorder="1" applyAlignment="1">
      <alignment horizontal="right" vertical="top" wrapText="1"/>
    </xf>
    <xf numFmtId="0" fontId="15" fillId="16" borderId="1" xfId="0" applyFont="1" applyFill="1" applyBorder="1" applyAlignment="1">
      <alignment horizontal="center" vertical="center" wrapText="1"/>
    </xf>
    <xf numFmtId="0" fontId="20" fillId="21" borderId="1" xfId="0" applyFont="1" applyFill="1" applyBorder="1" applyAlignment="1">
      <alignment horizontal="left" vertical="top" wrapText="1"/>
    </xf>
    <xf numFmtId="0" fontId="18" fillId="23" borderId="1" xfId="0" applyFont="1" applyFill="1" applyBorder="1" applyAlignment="1">
      <alignment horizontal="center" vertical="center" wrapText="1"/>
    </xf>
    <xf numFmtId="0" fontId="18" fillId="19" borderId="1" xfId="0" applyFont="1" applyFill="1" applyBorder="1" applyAlignment="1">
      <alignment horizontal="center" vertical="center" wrapText="1"/>
    </xf>
    <xf numFmtId="0" fontId="21" fillId="20" borderId="1" xfId="0" applyFont="1" applyFill="1" applyBorder="1" applyAlignment="1">
      <alignment horizontal="left" vertical="top" wrapText="1"/>
    </xf>
    <xf numFmtId="167" fontId="23" fillId="23" borderId="1" xfId="0" applyNumberFormat="1" applyFont="1" applyFill="1" applyBorder="1" applyAlignment="1">
      <alignment horizontal="right" vertical="top" wrapText="1"/>
    </xf>
    <xf numFmtId="0" fontId="24" fillId="24" borderId="1" xfId="0" applyFont="1" applyFill="1" applyBorder="1" applyAlignment="1">
      <alignment horizontal="center" vertical="center" wrapText="1"/>
    </xf>
    <xf numFmtId="0" fontId="15" fillId="16" borderId="0" xfId="0" applyFont="1" applyFill="1" applyAlignment="1">
      <alignment horizontal="center" vertical="center" wrapText="1"/>
    </xf>
    <xf numFmtId="0" fontId="20" fillId="17" borderId="1" xfId="0" applyFont="1" applyFill="1" applyBorder="1" applyAlignment="1">
      <alignment horizontal="left" vertical="top" wrapText="1"/>
    </xf>
    <xf numFmtId="169" fontId="24" fillId="21" borderId="1" xfId="0" applyNumberFormat="1" applyFont="1" applyFill="1" applyBorder="1" applyAlignment="1">
      <alignment horizontal="left" vertical="top" wrapText="1"/>
    </xf>
    <xf numFmtId="168" fontId="24" fillId="21" borderId="1" xfId="0" applyNumberFormat="1" applyFont="1" applyFill="1" applyBorder="1" applyAlignment="1">
      <alignment horizontal="left" vertical="top" wrapText="1"/>
    </xf>
    <xf numFmtId="0" fontId="18" fillId="17" borderId="1" xfId="0" applyFont="1" applyFill="1" applyBorder="1" applyAlignment="1">
      <alignment horizontal="left" vertical="top" wrapText="1"/>
    </xf>
    <xf numFmtId="0" fontId="24" fillId="21" borderId="1" xfId="0" applyFont="1" applyFill="1" applyBorder="1" applyAlignment="1">
      <alignment horizontal="left" vertical="top" wrapText="1"/>
    </xf>
    <xf numFmtId="0" fontId="2" fillId="3" borderId="0" xfId="0" applyFont="1" applyFill="1" applyAlignment="1">
      <alignment horizontal="left" vertical="center"/>
    </xf>
    <xf numFmtId="0" fontId="16" fillId="17" borderId="1" xfId="0" applyFont="1" applyFill="1" applyBorder="1" applyAlignment="1">
      <alignment horizontal="left" vertical="top" wrapText="1"/>
    </xf>
    <xf numFmtId="0" fontId="3" fillId="4" borderId="0" xfId="0" applyFont="1" applyFill="1" applyAlignment="1">
      <alignment horizontal="left" vertical="center" wrapText="1"/>
    </xf>
    <xf numFmtId="0" fontId="22" fillId="22" borderId="1" xfId="0" applyFont="1" applyFill="1" applyBorder="1" applyAlignment="1">
      <alignment horizontal="left" vertical="top" wrapText="1"/>
    </xf>
    <xf numFmtId="0" fontId="25" fillId="16" borderId="0" xfId="0" applyFont="1" applyFill="1" applyAlignment="1">
      <alignment horizontal="left" vertical="center"/>
    </xf>
    <xf numFmtId="0" fontId="0" fillId="0" borderId="0" xfId="0" applyAlignment="1"/>
    <xf numFmtId="0" fontId="24" fillId="21" borderId="1" xfId="0" applyFont="1" applyFill="1" applyBorder="1" applyAlignment="1">
      <alignment horizontal="left" vertical="top" wrapText="1"/>
    </xf>
    <xf numFmtId="0" fontId="0" fillId="0" borderId="2" xfId="0" applyBorder="1" applyAlignment="1"/>
    <xf numFmtId="0" fontId="0" fillId="0" borderId="3" xfId="0" applyBorder="1" applyAlignment="1"/>
    <xf numFmtId="0" fontId="3" fillId="4" borderId="0" xfId="0" applyFont="1" applyFill="1" applyAlignment="1">
      <alignment horizontal="left" vertical="top" wrapText="1"/>
    </xf>
    <xf numFmtId="0" fontId="25" fillId="25" borderId="1" xfId="0" applyFont="1" applyFill="1" applyBorder="1" applyAlignment="1">
      <alignment horizontal="left" vertical="center"/>
    </xf>
    <xf numFmtId="0" fontId="2" fillId="3" borderId="0" xfId="0" applyFont="1" applyFill="1" applyAlignment="1">
      <alignment horizontal="left" vertical="center"/>
    </xf>
    <xf numFmtId="0" fontId="1" fillId="2" borderId="0" xfId="0" applyFont="1" applyFill="1" applyAlignment="1">
      <alignment horizontal="left" vertical="center"/>
    </xf>
    <xf numFmtId="0" fontId="5" fillId="5" borderId="0" xfId="0" applyFont="1" applyFill="1" applyAlignment="1">
      <alignment horizontal="left" vertical="center"/>
    </xf>
    <xf numFmtId="0" fontId="4" fillId="2" borderId="0" xfId="0" applyFont="1" applyFill="1" applyAlignment="1">
      <alignment horizontal="left" vertical="center"/>
    </xf>
    <xf numFmtId="0" fontId="16" fillId="17" borderId="1" xfId="0" applyFont="1" applyFill="1" applyBorder="1" applyAlignment="1">
      <alignment horizontal="left" vertical="top" wrapText="1"/>
    </xf>
    <xf numFmtId="0" fontId="15" fillId="16" borderId="0" xfId="0" applyFont="1" applyFill="1" applyAlignment="1">
      <alignment horizontal="left" vertical="center" wrapText="1"/>
    </xf>
    <xf numFmtId="0" fontId="3" fillId="4" borderId="0" xfId="0" applyFont="1" applyFill="1" applyAlignment="1">
      <alignment horizontal="left" vertical="center" wrapText="1"/>
    </xf>
    <xf numFmtId="0" fontId="5" fillId="3" borderId="0" xfId="0" applyFont="1" applyFill="1" applyAlignment="1">
      <alignment horizontal="left" vertical="center"/>
    </xf>
    <xf numFmtId="0" fontId="5" fillId="12" borderId="0" xfId="0" applyFont="1" applyFill="1" applyAlignment="1">
      <alignment horizontal="left" vertical="center"/>
    </xf>
    <xf numFmtId="0" fontId="5" fillId="11" borderId="0" xfId="0" applyFont="1" applyFill="1" applyAlignment="1">
      <alignment horizontal="left" vertical="center"/>
    </xf>
    <xf numFmtId="0" fontId="5" fillId="10" borderId="0" xfId="0" applyFont="1" applyFill="1" applyAlignment="1">
      <alignment horizontal="left" vertical="center"/>
    </xf>
    <xf numFmtId="0" fontId="24" fillId="26" borderId="1" xfId="0" applyFont="1" applyFill="1" applyBorder="1" applyAlignment="1">
      <alignment horizontal="left" vertical="top" wrapText="1"/>
    </xf>
    <xf numFmtId="0" fontId="22" fillId="22" borderId="1" xfId="0" applyFont="1" applyFill="1" applyBorder="1" applyAlignment="1">
      <alignment horizontal="left" vertical="top" wrapText="1"/>
    </xf>
    <xf numFmtId="0" fontId="13" fillId="2" borderId="0" xfId="0" applyFont="1" applyFill="1" applyAlignment="1">
      <alignment horizontal="left" vertical="center"/>
    </xf>
    <xf numFmtId="0" fontId="15" fillId="25"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F9F9F9"/>
      <rgbColor rgb="FF808080"/>
      <rgbColor rgb="FF9999FF"/>
      <rgbColor rgb="FF993366"/>
      <rgbColor rgb="FFFFFCE6"/>
      <rgbColor rgb="FFEBF3FB"/>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F2F2F2"/>
      <rgbColor rgb="FFE2EFDA"/>
      <rgbColor rgb="FFFFF2CC"/>
      <rgbColor rgb="FF99CCFF"/>
      <rgbColor rgb="FFFF99CC"/>
      <rgbColor rgb="FFCC99FF"/>
      <rgbColor rgb="FFFCE4D6"/>
      <rgbColor rgb="FF2E75B6"/>
      <rgbColor rgb="FF33CCCC"/>
      <rgbColor rgb="FF99CC00"/>
      <rgbColor rgb="FFFFCC00"/>
      <rgbColor rgb="FFFF9900"/>
      <rgbColor rgb="FFFF6600"/>
      <rgbColor rgb="FF666699"/>
      <rgbColor rgb="FF969696"/>
      <rgbColor rgb="FF1F4E5F"/>
      <rgbColor rgb="FF339966"/>
      <rgbColor rgb="FF003300"/>
      <rgbColor rgb="FF375623"/>
      <rgbColor rgb="FF843C0C"/>
      <rgbColor rgb="FF993366"/>
      <rgbColor rgb="FF2E405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zoomScaleNormal="100" workbookViewId="0">
      <pane ySplit="1" topLeftCell="A2" activePane="bottomLeft" state="frozen"/>
      <selection pane="bottomLeft"/>
    </sheetView>
  </sheetViews>
  <sheetFormatPr defaultColWidth="8.5703125" defaultRowHeight="14.45"/>
  <cols>
    <col min="1" max="3" width="30" customWidth="1"/>
  </cols>
  <sheetData>
    <row r="1" spans="1:3" ht="30" customHeight="1">
      <c r="A1" s="76" t="s">
        <v>0</v>
      </c>
      <c r="B1" s="69"/>
      <c r="C1" s="69"/>
    </row>
    <row r="2" spans="1:3" ht="19.5" customHeight="1">
      <c r="A2" s="75" t="s">
        <v>1</v>
      </c>
      <c r="B2" s="69"/>
      <c r="C2" s="69"/>
    </row>
    <row r="3" spans="1:3" ht="120" customHeight="1">
      <c r="A3" s="73" t="s">
        <v>2</v>
      </c>
      <c r="B3" s="69"/>
      <c r="C3" s="69"/>
    </row>
    <row r="4" spans="1:3" ht="19.5" customHeight="1">
      <c r="A4" s="75" t="s">
        <v>3</v>
      </c>
      <c r="B4" s="69"/>
      <c r="C4" s="69"/>
    </row>
    <row r="5" spans="1:3" ht="120" customHeight="1">
      <c r="A5" s="73" t="s">
        <v>4</v>
      </c>
      <c r="B5" s="69"/>
      <c r="C5" s="69"/>
    </row>
    <row r="6" spans="1:3" ht="19.5" customHeight="1">
      <c r="A6" s="75" t="s">
        <v>5</v>
      </c>
      <c r="B6" s="69"/>
      <c r="C6" s="69"/>
    </row>
    <row r="7" spans="1:3" ht="120" customHeight="1">
      <c r="A7" s="73" t="s">
        <v>6</v>
      </c>
      <c r="B7" s="69"/>
      <c r="C7" s="69"/>
    </row>
    <row r="8" spans="1:3" ht="19.5" customHeight="1">
      <c r="A8" s="75" t="s">
        <v>7</v>
      </c>
      <c r="B8" s="69"/>
      <c r="C8" s="69"/>
    </row>
    <row r="9" spans="1:3" ht="120" customHeight="1">
      <c r="A9" s="73" t="s">
        <v>8</v>
      </c>
      <c r="B9" s="69"/>
      <c r="C9" s="69"/>
    </row>
    <row r="10" spans="1:3" ht="19.5" customHeight="1">
      <c r="A10" s="75" t="s">
        <v>9</v>
      </c>
      <c r="B10" s="69"/>
      <c r="C10" s="69"/>
    </row>
    <row r="11" spans="1:3" ht="120" customHeight="1">
      <c r="A11" s="73" t="s">
        <v>10</v>
      </c>
      <c r="B11" s="69"/>
      <c r="C11" s="69"/>
    </row>
    <row r="12" spans="1:3" ht="19.5" customHeight="1">
      <c r="A12" s="75" t="s">
        <v>11</v>
      </c>
      <c r="B12" s="69"/>
      <c r="C12" s="69"/>
    </row>
    <row r="13" spans="1:3" ht="120" customHeight="1">
      <c r="A13" s="73" t="s">
        <v>12</v>
      </c>
      <c r="B13" s="69"/>
      <c r="C13" s="69"/>
    </row>
    <row r="14" spans="1:3" ht="19.5" customHeight="1">
      <c r="A14" s="75" t="s">
        <v>13</v>
      </c>
      <c r="B14" s="69"/>
      <c r="C14" s="69"/>
    </row>
    <row r="15" spans="1:3" ht="120" customHeight="1">
      <c r="A15" s="73" t="s">
        <v>14</v>
      </c>
      <c r="B15" s="69"/>
      <c r="C15" s="69"/>
    </row>
    <row r="17" spans="1:3" ht="21.95" customHeight="1">
      <c r="A17" s="74" t="s">
        <v>15</v>
      </c>
      <c r="B17" s="71"/>
      <c r="C17" s="72"/>
    </row>
    <row r="18" spans="1:3" ht="200.1" customHeight="1">
      <c r="A18" s="70" t="s">
        <v>16</v>
      </c>
      <c r="B18" s="71"/>
      <c r="C18" s="72"/>
    </row>
    <row r="19" spans="1:3" ht="21.95" customHeight="1">
      <c r="A19" s="74" t="s">
        <v>17</v>
      </c>
      <c r="B19" s="71"/>
      <c r="C19" s="72"/>
    </row>
    <row r="20" spans="1:3" ht="200.1" customHeight="1">
      <c r="A20" s="70" t="s">
        <v>18</v>
      </c>
      <c r="B20" s="71"/>
      <c r="C20" s="72"/>
    </row>
    <row r="21" spans="1:3" ht="21.95" customHeight="1">
      <c r="A21" s="74" t="s">
        <v>19</v>
      </c>
      <c r="B21" s="71"/>
      <c r="C21" s="72"/>
    </row>
    <row r="22" spans="1:3" ht="200.1" customHeight="1">
      <c r="A22" s="70" t="s">
        <v>20</v>
      </c>
      <c r="B22" s="71"/>
      <c r="C22" s="72"/>
    </row>
    <row r="23" spans="1:3" ht="21.95" customHeight="1">
      <c r="A23" s="74" t="s">
        <v>21</v>
      </c>
      <c r="B23" s="71"/>
      <c r="C23" s="72"/>
    </row>
    <row r="24" spans="1:3" ht="200.1" customHeight="1">
      <c r="A24" s="70" t="s">
        <v>22</v>
      </c>
      <c r="B24" s="71"/>
      <c r="C24" s="72"/>
    </row>
  </sheetData>
  <mergeCells count="23">
    <mergeCell ref="A24:C24"/>
    <mergeCell ref="A11:C11"/>
    <mergeCell ref="A1:C1"/>
    <mergeCell ref="A6:C6"/>
    <mergeCell ref="A7:C7"/>
    <mergeCell ref="A23:C23"/>
    <mergeCell ref="A8:C8"/>
    <mergeCell ref="A14:C14"/>
    <mergeCell ref="A22:C22"/>
    <mergeCell ref="A17:C17"/>
    <mergeCell ref="A20:C20"/>
    <mergeCell ref="A10:C10"/>
    <mergeCell ref="A13:C13"/>
    <mergeCell ref="A19:C19"/>
    <mergeCell ref="A9:C9"/>
    <mergeCell ref="A15:C15"/>
    <mergeCell ref="A18:C18"/>
    <mergeCell ref="A3:C3"/>
    <mergeCell ref="A21:C21"/>
    <mergeCell ref="A12:C12"/>
    <mergeCell ref="A2:C2"/>
    <mergeCell ref="A5:C5"/>
    <mergeCell ref="A4:C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tabSelected="1" workbookViewId="0"/>
  </sheetViews>
  <sheetFormatPr defaultRowHeight="14.45"/>
  <cols>
    <col min="1" max="1" width="10" customWidth="1"/>
    <col min="2" max="2" width="14" customWidth="1"/>
    <col min="3" max="3" width="20" customWidth="1"/>
    <col min="4" max="4" width="28" customWidth="1"/>
    <col min="5" max="5" width="55" customWidth="1"/>
    <col min="6" max="6" width="20" customWidth="1"/>
  </cols>
  <sheetData>
    <row r="1" spans="1:6" ht="24" customHeight="1">
      <c r="A1" s="68" t="s">
        <v>23</v>
      </c>
      <c r="B1" s="69"/>
      <c r="C1" s="69"/>
      <c r="D1" s="69"/>
      <c r="E1" s="69"/>
      <c r="F1" s="69"/>
    </row>
    <row r="2" spans="1:6">
      <c r="A2" s="51" t="s">
        <v>24</v>
      </c>
      <c r="B2" s="51" t="s">
        <v>25</v>
      </c>
      <c r="C2" s="51" t="s">
        <v>26</v>
      </c>
      <c r="D2" s="51" t="s">
        <v>27</v>
      </c>
      <c r="E2" s="51" t="s">
        <v>28</v>
      </c>
      <c r="F2" s="51" t="s">
        <v>29</v>
      </c>
    </row>
    <row r="3" spans="1:6" ht="26.1">
      <c r="A3" s="65" t="s">
        <v>30</v>
      </c>
      <c r="B3" s="65" t="s">
        <v>31</v>
      </c>
      <c r="C3" s="65" t="s">
        <v>32</v>
      </c>
      <c r="D3" s="65" t="s">
        <v>33</v>
      </c>
      <c r="E3" s="65" t="s">
        <v>34</v>
      </c>
      <c r="F3" s="65" t="s">
        <v>35</v>
      </c>
    </row>
    <row r="4" spans="1:6" ht="30" customHeight="1">
      <c r="A4" s="63" t="s">
        <v>36</v>
      </c>
      <c r="B4" s="67" t="s">
        <v>37</v>
      </c>
      <c r="C4" s="67" t="s">
        <v>37</v>
      </c>
      <c r="D4" s="63" t="s">
        <v>38</v>
      </c>
      <c r="E4" s="63" t="s">
        <v>39</v>
      </c>
      <c r="F4" s="67" t="s">
        <v>37</v>
      </c>
    </row>
    <row r="5" spans="1:6" ht="80.099999999999994" customHeight="1">
      <c r="A5" s="63" t="s">
        <v>40</v>
      </c>
      <c r="B5" s="67" t="s">
        <v>37</v>
      </c>
      <c r="C5" s="67" t="s">
        <v>37</v>
      </c>
      <c r="D5" s="63" t="s">
        <v>41</v>
      </c>
      <c r="E5" s="63" t="s">
        <v>42</v>
      </c>
      <c r="F5" s="67" t="s">
        <v>37</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
  <sheetViews>
    <sheetView zoomScaleNormal="100" workbookViewId="0">
      <pane ySplit="2" topLeftCell="A3" activePane="bottomLeft" state="frozen"/>
      <selection pane="bottomLeft"/>
    </sheetView>
  </sheetViews>
  <sheetFormatPr defaultColWidth="8.5703125" defaultRowHeight="14.45"/>
  <cols>
    <col min="1" max="1" width="32" customWidth="1"/>
    <col min="2" max="2" width="22" customWidth="1"/>
    <col min="3" max="3" width="60" customWidth="1"/>
  </cols>
  <sheetData>
    <row r="1" spans="1:3" ht="21.75" customHeight="1">
      <c r="A1" s="78" t="s">
        <v>43</v>
      </c>
      <c r="B1" s="69"/>
      <c r="C1" s="69"/>
    </row>
    <row r="2" spans="1:3" ht="18" customHeight="1">
      <c r="A2" s="64" t="s">
        <v>44</v>
      </c>
      <c r="B2" s="1" t="s">
        <v>45</v>
      </c>
      <c r="C2" s="64" t="s">
        <v>46</v>
      </c>
    </row>
    <row r="3" spans="1:3" ht="18" customHeight="1">
      <c r="A3" s="77" t="s">
        <v>47</v>
      </c>
      <c r="B3" s="69"/>
      <c r="C3" s="69"/>
    </row>
    <row r="4" spans="1:3" ht="45" customHeight="1">
      <c r="A4" s="2" t="s">
        <v>48</v>
      </c>
      <c r="B4" s="3">
        <v>3</v>
      </c>
      <c r="C4" s="66" t="s">
        <v>49</v>
      </c>
    </row>
    <row r="5" spans="1:3" ht="45" customHeight="1">
      <c r="A5" s="2" t="s">
        <v>50</v>
      </c>
      <c r="B5" s="3" t="s">
        <v>51</v>
      </c>
      <c r="C5" s="66" t="s">
        <v>52</v>
      </c>
    </row>
    <row r="6" spans="1:3" ht="18" customHeight="1">
      <c r="A6" s="77" t="s">
        <v>53</v>
      </c>
      <c r="B6" s="69"/>
      <c r="C6" s="69"/>
    </row>
    <row r="7" spans="1:3" ht="45" customHeight="1">
      <c r="A7" s="2" t="s">
        <v>54</v>
      </c>
      <c r="B7" s="4">
        <v>0.06</v>
      </c>
      <c r="C7" s="66" t="s">
        <v>55</v>
      </c>
    </row>
    <row r="8" spans="1:3" ht="45" customHeight="1">
      <c r="A8" s="2" t="s">
        <v>56</v>
      </c>
      <c r="B8" s="4">
        <v>0.85</v>
      </c>
      <c r="C8" s="66" t="s">
        <v>57</v>
      </c>
    </row>
    <row r="9" spans="1:3" ht="45" customHeight="1">
      <c r="A9" s="2" t="s">
        <v>58</v>
      </c>
      <c r="B9" s="4">
        <v>1.1499999999999999</v>
      </c>
      <c r="C9" s="66" t="s">
        <v>59</v>
      </c>
    </row>
    <row r="10" spans="1:3" ht="18" customHeight="1">
      <c r="A10" s="77" t="s">
        <v>60</v>
      </c>
      <c r="B10" s="69"/>
      <c r="C10" s="69"/>
    </row>
    <row r="11" spans="1:3" ht="45" customHeight="1">
      <c r="A11" s="2" t="s">
        <v>61</v>
      </c>
      <c r="B11" s="4">
        <v>0.03</v>
      </c>
      <c r="C11" s="66" t="s">
        <v>62</v>
      </c>
    </row>
    <row r="12" spans="1:3" ht="45" customHeight="1">
      <c r="A12" s="2" t="s">
        <v>63</v>
      </c>
      <c r="B12" s="4">
        <v>0.9</v>
      </c>
      <c r="C12" s="66" t="s">
        <v>64</v>
      </c>
    </row>
    <row r="13" spans="1:3" ht="45" customHeight="1">
      <c r="A13" s="2" t="s">
        <v>65</v>
      </c>
      <c r="B13" s="4">
        <v>1.2</v>
      </c>
      <c r="C13" s="66" t="s">
        <v>66</v>
      </c>
    </row>
    <row r="14" spans="1:3" ht="18" customHeight="1">
      <c r="A14" s="77" t="s">
        <v>67</v>
      </c>
      <c r="B14" s="69"/>
      <c r="C14" s="69"/>
    </row>
    <row r="15" spans="1:3" ht="45" customHeight="1">
      <c r="A15" s="2" t="s">
        <v>68</v>
      </c>
      <c r="B15" s="4">
        <v>2.5000000000000001E-2</v>
      </c>
      <c r="C15" s="66" t="s">
        <v>69</v>
      </c>
    </row>
    <row r="16" spans="1:3" ht="45" customHeight="1">
      <c r="A16" s="2" t="s">
        <v>70</v>
      </c>
      <c r="B16" s="4">
        <v>0.9</v>
      </c>
      <c r="C16" s="66" t="s">
        <v>71</v>
      </c>
    </row>
    <row r="17" spans="1:3" ht="45" customHeight="1">
      <c r="A17" s="2" t="s">
        <v>72</v>
      </c>
      <c r="B17" s="4">
        <v>1.25</v>
      </c>
      <c r="C17" s="66" t="s">
        <v>73</v>
      </c>
    </row>
    <row r="18" spans="1:3" ht="18" customHeight="1">
      <c r="A18" s="77" t="s">
        <v>74</v>
      </c>
      <c r="B18" s="69"/>
      <c r="C18" s="69"/>
    </row>
    <row r="19" spans="1:3" ht="45" customHeight="1">
      <c r="A19" s="2" t="s">
        <v>75</v>
      </c>
      <c r="B19" s="4">
        <v>1</v>
      </c>
      <c r="C19" s="66" t="s">
        <v>76</v>
      </c>
    </row>
    <row r="20" spans="1:3" ht="45" customHeight="1">
      <c r="A20" s="2" t="s">
        <v>77</v>
      </c>
      <c r="B20" s="4">
        <v>1</v>
      </c>
      <c r="C20" s="66" t="s">
        <v>78</v>
      </c>
    </row>
  </sheetData>
  <mergeCells count="6">
    <mergeCell ref="A10:C10"/>
    <mergeCell ref="A1:C1"/>
    <mergeCell ref="A14:C14"/>
    <mergeCell ref="A6:C6"/>
    <mergeCell ref="A18:C18"/>
    <mergeCell ref="A3:C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zoomScaleNormal="100" workbookViewId="0">
      <pane ySplit="2" topLeftCell="A3" activePane="bottomLeft" state="frozen"/>
      <selection pane="bottomLeft"/>
    </sheetView>
  </sheetViews>
  <sheetFormatPr defaultColWidth="8.5703125" defaultRowHeight="14.45"/>
  <cols>
    <col min="1" max="2" width="18" customWidth="1"/>
    <col min="3" max="3" width="20" customWidth="1"/>
    <col min="4" max="4" width="42" customWidth="1"/>
    <col min="5" max="5" width="40" customWidth="1"/>
  </cols>
  <sheetData>
    <row r="1" spans="1:5" ht="21.95" customHeight="1">
      <c r="A1" s="80" t="s">
        <v>79</v>
      </c>
      <c r="B1" s="69"/>
      <c r="C1" s="69"/>
      <c r="D1" s="69"/>
      <c r="E1" s="69"/>
    </row>
    <row r="2" spans="1:5" ht="18" customHeight="1">
      <c r="A2" s="43" t="s">
        <v>80</v>
      </c>
      <c r="B2" s="43" t="s">
        <v>81</v>
      </c>
      <c r="C2" s="43" t="s">
        <v>82</v>
      </c>
      <c r="D2" s="43" t="s">
        <v>83</v>
      </c>
      <c r="E2" s="51" t="s">
        <v>84</v>
      </c>
    </row>
    <row r="3" spans="1:5" ht="31.5" customHeight="1">
      <c r="A3" s="65" t="s">
        <v>85</v>
      </c>
      <c r="B3" s="65" t="s">
        <v>86</v>
      </c>
      <c r="C3" s="65" t="s">
        <v>87</v>
      </c>
      <c r="D3" s="65" t="s">
        <v>88</v>
      </c>
      <c r="E3" s="65" t="s">
        <v>89</v>
      </c>
    </row>
    <row r="4" spans="1:5" ht="15" customHeight="1">
      <c r="A4" s="44" t="s">
        <v>90</v>
      </c>
      <c r="B4" s="45" t="s">
        <v>91</v>
      </c>
      <c r="C4" s="46">
        <v>1</v>
      </c>
      <c r="D4" s="44" t="s">
        <v>92</v>
      </c>
      <c r="E4" s="52" t="s">
        <v>93</v>
      </c>
    </row>
    <row r="5" spans="1:5" ht="15" customHeight="1">
      <c r="A5" s="47" t="s">
        <v>94</v>
      </c>
      <c r="B5" s="45" t="s">
        <v>95</v>
      </c>
      <c r="C5" s="48">
        <v>1.07</v>
      </c>
      <c r="D5" s="47" t="s">
        <v>96</v>
      </c>
      <c r="E5" s="52" t="s">
        <v>97</v>
      </c>
    </row>
    <row r="6" spans="1:5" ht="15" customHeight="1">
      <c r="A6" s="44" t="s">
        <v>98</v>
      </c>
      <c r="B6" s="45" t="s">
        <v>99</v>
      </c>
      <c r="C6" s="46">
        <v>0.94</v>
      </c>
      <c r="D6" s="44" t="s">
        <v>100</v>
      </c>
      <c r="E6" s="52" t="s">
        <v>101</v>
      </c>
    </row>
    <row r="7" spans="1:5" ht="15" customHeight="1">
      <c r="A7" s="47" t="s">
        <v>102</v>
      </c>
      <c r="B7" s="45" t="s">
        <v>103</v>
      </c>
      <c r="C7" s="48">
        <v>1.03</v>
      </c>
      <c r="D7" s="47" t="s">
        <v>104</v>
      </c>
      <c r="E7" s="52" t="s">
        <v>105</v>
      </c>
    </row>
    <row r="8" spans="1:5" ht="15" customHeight="1">
      <c r="A8" s="44" t="s">
        <v>106</v>
      </c>
      <c r="B8" s="45" t="s">
        <v>91</v>
      </c>
      <c r="C8" s="46">
        <v>1.1200000000000001</v>
      </c>
      <c r="D8" s="44" t="s">
        <v>107</v>
      </c>
      <c r="E8" s="52" t="s">
        <v>108</v>
      </c>
    </row>
    <row r="9" spans="1:5" ht="15" customHeight="1">
      <c r="A9" s="47" t="s">
        <v>109</v>
      </c>
      <c r="B9" s="45" t="s">
        <v>91</v>
      </c>
      <c r="C9" s="48">
        <v>0.74</v>
      </c>
      <c r="D9" s="47" t="s">
        <v>110</v>
      </c>
      <c r="E9" s="52" t="s">
        <v>111</v>
      </c>
    </row>
    <row r="10" spans="1:5" ht="15" customHeight="1">
      <c r="A10" s="44" t="s">
        <v>112</v>
      </c>
      <c r="B10" s="45" t="s">
        <v>113</v>
      </c>
      <c r="C10" s="46">
        <v>0.88</v>
      </c>
      <c r="D10" s="44" t="s">
        <v>114</v>
      </c>
      <c r="E10" s="52" t="s">
        <v>115</v>
      </c>
    </row>
    <row r="11" spans="1:5" ht="39.950000000000003" customHeight="1">
      <c r="A11" s="79" t="s">
        <v>116</v>
      </c>
      <c r="B11" s="71"/>
      <c r="C11" s="71"/>
      <c r="D11" s="71"/>
      <c r="E11" s="72"/>
    </row>
  </sheetData>
  <mergeCells count="2">
    <mergeCell ref="A11:E11"/>
    <mergeCell ref="A1:E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
  <sheetViews>
    <sheetView zoomScaleNormal="100" workbookViewId="0">
      <pane ySplit="2" topLeftCell="A3" activePane="bottomLeft" state="frozen"/>
      <selection pane="bottomLeft"/>
    </sheetView>
  </sheetViews>
  <sheetFormatPr defaultColWidth="8.5703125" defaultRowHeight="14.45"/>
  <cols>
    <col min="1" max="1" width="22" customWidth="1"/>
    <col min="2" max="2" width="30" customWidth="1"/>
    <col min="3" max="3" width="22" customWidth="1"/>
    <col min="4" max="4" width="65" customWidth="1"/>
    <col min="5" max="5" width="35" customWidth="1"/>
    <col min="6" max="6" width="16" customWidth="1"/>
  </cols>
  <sheetData>
    <row r="1" spans="1:6" ht="21.95" customHeight="1">
      <c r="A1" s="80" t="s">
        <v>117</v>
      </c>
      <c r="B1" s="69"/>
      <c r="C1" s="69"/>
      <c r="D1" s="69"/>
      <c r="E1" s="69"/>
      <c r="F1" s="69"/>
    </row>
    <row r="2" spans="1:6" ht="18" customHeight="1">
      <c r="A2" s="5" t="s">
        <v>118</v>
      </c>
      <c r="B2" s="5" t="s">
        <v>119</v>
      </c>
      <c r="C2" s="5" t="s">
        <v>120</v>
      </c>
      <c r="D2" s="5" t="s">
        <v>121</v>
      </c>
      <c r="E2" s="51" t="s">
        <v>84</v>
      </c>
      <c r="F2" s="51" t="s">
        <v>122</v>
      </c>
    </row>
    <row r="3" spans="1:6" ht="31.5" customHeight="1">
      <c r="A3" s="10" t="s">
        <v>123</v>
      </c>
      <c r="B3" s="10" t="s">
        <v>124</v>
      </c>
      <c r="C3" s="10" t="s">
        <v>125</v>
      </c>
      <c r="D3" s="10" t="s">
        <v>126</v>
      </c>
      <c r="E3" s="65" t="s">
        <v>127</v>
      </c>
      <c r="F3" s="65" t="s">
        <v>128</v>
      </c>
    </row>
    <row r="4" spans="1:6" ht="15" customHeight="1">
      <c r="A4" s="6" t="s">
        <v>129</v>
      </c>
      <c r="B4" s="6" t="s">
        <v>130</v>
      </c>
      <c r="C4" s="11">
        <v>112</v>
      </c>
      <c r="D4" s="12" t="s">
        <v>131</v>
      </c>
      <c r="E4" s="52" t="s">
        <v>132</v>
      </c>
      <c r="F4" s="67" t="s">
        <v>37</v>
      </c>
    </row>
    <row r="5" spans="1:6" ht="15" customHeight="1">
      <c r="A5" s="8" t="s">
        <v>133</v>
      </c>
      <c r="B5" s="8" t="s">
        <v>134</v>
      </c>
      <c r="C5" s="11">
        <v>118</v>
      </c>
      <c r="D5" s="13" t="s">
        <v>135</v>
      </c>
      <c r="E5" s="52" t="s">
        <v>136</v>
      </c>
      <c r="F5" s="67" t="s">
        <v>37</v>
      </c>
    </row>
    <row r="6" spans="1:6" ht="15" customHeight="1">
      <c r="A6" s="6" t="s">
        <v>137</v>
      </c>
      <c r="B6" s="6" t="s">
        <v>138</v>
      </c>
      <c r="C6" s="11">
        <v>126</v>
      </c>
      <c r="D6" s="12" t="s">
        <v>139</v>
      </c>
      <c r="E6" s="52" t="s">
        <v>140</v>
      </c>
      <c r="F6" s="67" t="s">
        <v>37</v>
      </c>
    </row>
    <row r="7" spans="1:6" ht="15" customHeight="1">
      <c r="A7" s="8" t="s">
        <v>141</v>
      </c>
      <c r="B7" s="8" t="s">
        <v>142</v>
      </c>
      <c r="C7" s="11">
        <v>120</v>
      </c>
      <c r="D7" s="13" t="s">
        <v>143</v>
      </c>
      <c r="E7" s="52" t="s">
        <v>144</v>
      </c>
      <c r="F7" s="67" t="s">
        <v>37</v>
      </c>
    </row>
    <row r="8" spans="1:6" ht="15" customHeight="1">
      <c r="A8" s="6" t="s">
        <v>145</v>
      </c>
      <c r="B8" s="6" t="s">
        <v>146</v>
      </c>
      <c r="C8" s="11">
        <v>122</v>
      </c>
      <c r="D8" s="12" t="s">
        <v>147</v>
      </c>
      <c r="E8" s="52" t="s">
        <v>144</v>
      </c>
      <c r="F8" s="67" t="s">
        <v>37</v>
      </c>
    </row>
    <row r="9" spans="1:6" ht="90" customHeight="1">
      <c r="A9" s="81" t="s">
        <v>148</v>
      </c>
      <c r="B9" s="69"/>
      <c r="C9" s="69"/>
      <c r="D9" s="69"/>
      <c r="E9" s="69"/>
      <c r="F9" s="69"/>
    </row>
  </sheetData>
  <mergeCells count="2">
    <mergeCell ref="A1:F1"/>
    <mergeCell ref="A9:F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509"/>
  <sheetViews>
    <sheetView zoomScaleNormal="100" workbookViewId="0">
      <pane ySplit="3" topLeftCell="A4" activePane="bottomLeft" state="frozen"/>
      <selection pane="bottomLeft"/>
    </sheetView>
  </sheetViews>
  <sheetFormatPr defaultColWidth="8.5703125" defaultRowHeight="14.45"/>
  <cols>
    <col min="1" max="1" width="18" customWidth="1"/>
    <col min="2" max="2" width="22" customWidth="1"/>
    <col min="3" max="3" width="18" customWidth="1"/>
    <col min="4" max="4" width="26" customWidth="1"/>
    <col min="5" max="7" width="18" customWidth="1"/>
    <col min="8" max="8" width="16" customWidth="1"/>
    <col min="9" max="23" width="18" customWidth="1"/>
    <col min="24" max="24" width="45" customWidth="1"/>
    <col min="25" max="25" width="30" customWidth="1"/>
  </cols>
  <sheetData>
    <row r="1" spans="1:26" ht="21.75" customHeight="1">
      <c r="A1" s="78" t="s">
        <v>149</v>
      </c>
      <c r="B1" s="69"/>
      <c r="C1" s="69"/>
      <c r="D1" s="69"/>
      <c r="E1" s="69"/>
      <c r="F1" s="69"/>
      <c r="G1" s="69"/>
      <c r="H1" s="69"/>
      <c r="I1" s="69"/>
      <c r="J1" s="69"/>
      <c r="K1" s="69"/>
      <c r="L1" s="69"/>
      <c r="M1" s="69"/>
      <c r="N1" s="69"/>
      <c r="O1" s="69"/>
      <c r="P1" s="69"/>
      <c r="Q1" s="69"/>
      <c r="R1" s="69"/>
      <c r="S1" s="69"/>
      <c r="T1" s="69"/>
      <c r="U1" s="69"/>
      <c r="V1" s="69"/>
      <c r="W1" s="69"/>
      <c r="X1" s="69"/>
      <c r="Y1" s="69"/>
    </row>
    <row r="2" spans="1:26" ht="18" customHeight="1">
      <c r="A2" s="64" t="s">
        <v>150</v>
      </c>
      <c r="B2" s="64" t="s">
        <v>151</v>
      </c>
      <c r="C2" s="64" t="s">
        <v>152</v>
      </c>
      <c r="D2" s="64" t="s">
        <v>153</v>
      </c>
      <c r="E2" s="64" t="s">
        <v>154</v>
      </c>
      <c r="F2" s="64" t="s">
        <v>155</v>
      </c>
      <c r="G2" s="64" t="s">
        <v>156</v>
      </c>
      <c r="H2" s="64" t="s">
        <v>80</v>
      </c>
      <c r="I2" s="64" t="s">
        <v>82</v>
      </c>
      <c r="J2" s="64" t="s">
        <v>157</v>
      </c>
      <c r="K2" s="64" t="s">
        <v>158</v>
      </c>
      <c r="L2" s="64" t="s">
        <v>159</v>
      </c>
      <c r="M2" s="64" t="s">
        <v>160</v>
      </c>
      <c r="N2" s="64" t="s">
        <v>161</v>
      </c>
      <c r="P2" s="64" t="s">
        <v>162</v>
      </c>
      <c r="Q2" s="64" t="s">
        <v>118</v>
      </c>
      <c r="R2" s="64" t="s">
        <v>163</v>
      </c>
      <c r="S2" s="64" t="s">
        <v>164</v>
      </c>
      <c r="T2" s="64" t="s">
        <v>165</v>
      </c>
      <c r="U2" s="64" t="s">
        <v>166</v>
      </c>
      <c r="V2" s="64" t="s">
        <v>167</v>
      </c>
      <c r="W2" s="64" t="s">
        <v>168</v>
      </c>
      <c r="X2" s="64" t="s">
        <v>169</v>
      </c>
      <c r="Y2" s="64" t="s">
        <v>121</v>
      </c>
      <c r="Z2" s="64" t="s">
        <v>170</v>
      </c>
    </row>
    <row r="3" spans="1:26" ht="49.5" customHeight="1">
      <c r="A3" s="14" t="s">
        <v>171</v>
      </c>
      <c r="B3" s="14" t="s">
        <v>172</v>
      </c>
      <c r="C3" s="14" t="s">
        <v>173</v>
      </c>
      <c r="D3" s="14" t="s">
        <v>174</v>
      </c>
      <c r="E3" s="15" t="s">
        <v>175</v>
      </c>
      <c r="F3" s="14" t="s">
        <v>176</v>
      </c>
      <c r="G3" s="15" t="s">
        <v>177</v>
      </c>
      <c r="H3" s="14" t="s">
        <v>178</v>
      </c>
      <c r="I3" s="15" t="s">
        <v>179</v>
      </c>
      <c r="J3" s="14" t="s">
        <v>180</v>
      </c>
      <c r="K3" s="15" t="s">
        <v>181</v>
      </c>
      <c r="L3" s="15" t="s">
        <v>182</v>
      </c>
      <c r="M3" s="15" t="s">
        <v>183</v>
      </c>
      <c r="N3" s="15" t="s">
        <v>184</v>
      </c>
      <c r="O3" s="49" t="s">
        <v>185</v>
      </c>
      <c r="P3" s="15" t="s">
        <v>186</v>
      </c>
      <c r="Q3" s="14" t="s">
        <v>187</v>
      </c>
      <c r="R3" s="15" t="s">
        <v>188</v>
      </c>
      <c r="S3" s="15" t="s">
        <v>189</v>
      </c>
      <c r="T3" s="14" t="s">
        <v>190</v>
      </c>
      <c r="U3" s="14" t="s">
        <v>191</v>
      </c>
      <c r="V3" s="14" t="s">
        <v>192</v>
      </c>
      <c r="W3" s="14" t="s">
        <v>193</v>
      </c>
      <c r="X3" s="14" t="s">
        <v>194</v>
      </c>
      <c r="Y3" s="14" t="s">
        <v>195</v>
      </c>
      <c r="Z3" s="14" t="s">
        <v>196</v>
      </c>
    </row>
    <row r="4" spans="1:26" ht="15" customHeight="1">
      <c r="A4" s="6" t="s">
        <v>197</v>
      </c>
      <c r="B4" s="6" t="s">
        <v>198</v>
      </c>
      <c r="C4" s="6" t="s">
        <v>199</v>
      </c>
      <c r="D4" s="6" t="s">
        <v>200</v>
      </c>
      <c r="E4" s="7">
        <v>6</v>
      </c>
      <c r="F4" s="6" t="s">
        <v>201</v>
      </c>
      <c r="G4" s="16" t="s">
        <v>202</v>
      </c>
      <c r="H4" s="6" t="s">
        <v>90</v>
      </c>
      <c r="I4" s="7">
        <v>1</v>
      </c>
      <c r="J4" s="6" t="s">
        <v>203</v>
      </c>
      <c r="K4" s="7">
        <v>5</v>
      </c>
      <c r="L4" s="7">
        <v>50</v>
      </c>
      <c r="M4" s="7">
        <v>780</v>
      </c>
      <c r="N4" s="7">
        <v>0.8</v>
      </c>
      <c r="O4" s="50">
        <f t="shared" ref="O4:O67" si="0">M4*N4</f>
        <v>624</v>
      </c>
      <c r="P4" s="17">
        <v>45292</v>
      </c>
      <c r="Q4" s="6" t="s">
        <v>129</v>
      </c>
      <c r="R4" s="7">
        <v>104</v>
      </c>
      <c r="S4" s="16" t="s">
        <v>204</v>
      </c>
      <c r="T4" s="6" t="s">
        <v>205</v>
      </c>
      <c r="U4" s="6" t="s">
        <v>206</v>
      </c>
      <c r="V4" s="6" t="s">
        <v>207</v>
      </c>
      <c r="W4" s="6" t="s">
        <v>208</v>
      </c>
      <c r="X4" s="6" t="s">
        <v>209</v>
      </c>
      <c r="Y4" s="6" t="s">
        <v>210</v>
      </c>
      <c r="Z4" s="6" t="s">
        <v>211</v>
      </c>
    </row>
    <row r="5" spans="1:26" ht="15" customHeight="1">
      <c r="A5" s="8" t="s">
        <v>212</v>
      </c>
      <c r="B5" s="8" t="s">
        <v>198</v>
      </c>
      <c r="C5" s="8" t="s">
        <v>199</v>
      </c>
      <c r="D5" s="8" t="s">
        <v>200</v>
      </c>
      <c r="E5" s="9">
        <v>6.2</v>
      </c>
      <c r="F5" s="8" t="s">
        <v>201</v>
      </c>
      <c r="G5" s="18" t="s">
        <v>202</v>
      </c>
      <c r="H5" s="8" t="s">
        <v>94</v>
      </c>
      <c r="I5" s="9">
        <v>1.07</v>
      </c>
      <c r="J5" s="8" t="s">
        <v>203</v>
      </c>
      <c r="K5" s="9">
        <v>5</v>
      </c>
      <c r="L5" s="9">
        <v>60</v>
      </c>
      <c r="M5" s="9">
        <v>805</v>
      </c>
      <c r="N5" s="9">
        <v>0.9</v>
      </c>
      <c r="O5" s="50">
        <f t="shared" si="0"/>
        <v>724.5</v>
      </c>
      <c r="P5" s="19">
        <v>45689</v>
      </c>
      <c r="Q5" s="8" t="s">
        <v>129</v>
      </c>
      <c r="R5" s="9">
        <v>105</v>
      </c>
      <c r="S5" s="18" t="s">
        <v>204</v>
      </c>
      <c r="T5" s="8" t="s">
        <v>205</v>
      </c>
      <c r="U5" s="8" t="s">
        <v>206</v>
      </c>
      <c r="V5" s="8" t="s">
        <v>207</v>
      </c>
      <c r="W5" s="8" t="s">
        <v>208</v>
      </c>
      <c r="X5" s="8" t="s">
        <v>213</v>
      </c>
      <c r="Y5" s="8" t="s">
        <v>210</v>
      </c>
      <c r="Z5" s="8" t="s">
        <v>211</v>
      </c>
    </row>
    <row r="6" spans="1:26" ht="15" customHeight="1">
      <c r="A6" s="6" t="s">
        <v>214</v>
      </c>
      <c r="B6" s="6" t="s">
        <v>198</v>
      </c>
      <c r="C6" s="6" t="s">
        <v>199</v>
      </c>
      <c r="D6" s="6" t="s">
        <v>200</v>
      </c>
      <c r="E6" s="7">
        <v>6.4</v>
      </c>
      <c r="F6" s="6" t="s">
        <v>201</v>
      </c>
      <c r="G6" s="16" t="s">
        <v>202</v>
      </c>
      <c r="H6" s="6" t="s">
        <v>102</v>
      </c>
      <c r="I6" s="7">
        <v>1.03</v>
      </c>
      <c r="J6" s="6" t="s">
        <v>203</v>
      </c>
      <c r="K6" s="7">
        <v>5</v>
      </c>
      <c r="L6" s="7">
        <v>75</v>
      </c>
      <c r="M6" s="7">
        <v>820</v>
      </c>
      <c r="N6" s="7">
        <v>1</v>
      </c>
      <c r="O6" s="50">
        <f t="shared" si="0"/>
        <v>820</v>
      </c>
      <c r="P6" s="17">
        <v>45352</v>
      </c>
      <c r="Q6" s="6" t="s">
        <v>129</v>
      </c>
      <c r="R6" s="7">
        <v>105</v>
      </c>
      <c r="S6" s="16" t="s">
        <v>204</v>
      </c>
      <c r="T6" s="6" t="s">
        <v>205</v>
      </c>
      <c r="U6" s="6" t="s">
        <v>206</v>
      </c>
      <c r="V6" s="6" t="s">
        <v>207</v>
      </c>
      <c r="W6" s="6" t="s">
        <v>208</v>
      </c>
      <c r="X6" s="6" t="s">
        <v>215</v>
      </c>
      <c r="Y6" s="6" t="s">
        <v>210</v>
      </c>
      <c r="Z6" s="6" t="s">
        <v>211</v>
      </c>
    </row>
    <row r="7" spans="1:26" ht="15" customHeight="1">
      <c r="A7" s="8" t="s">
        <v>216</v>
      </c>
      <c r="B7" s="8" t="s">
        <v>198</v>
      </c>
      <c r="C7" s="8" t="s">
        <v>199</v>
      </c>
      <c r="D7" s="8" t="s">
        <v>200</v>
      </c>
      <c r="E7" s="9">
        <v>6.5</v>
      </c>
      <c r="F7" s="8" t="s">
        <v>201</v>
      </c>
      <c r="G7" s="18" t="s">
        <v>202</v>
      </c>
      <c r="H7" s="8" t="s">
        <v>90</v>
      </c>
      <c r="I7" s="9">
        <v>1</v>
      </c>
      <c r="J7" s="8" t="s">
        <v>203</v>
      </c>
      <c r="K7" s="9">
        <v>5</v>
      </c>
      <c r="L7" s="9">
        <v>80</v>
      </c>
      <c r="M7" s="9">
        <v>835</v>
      </c>
      <c r="N7" s="9">
        <v>1.1000000000000001</v>
      </c>
      <c r="O7" s="50">
        <f t="shared" si="0"/>
        <v>918.50000000000011</v>
      </c>
      <c r="P7" s="19">
        <v>45748</v>
      </c>
      <c r="Q7" s="8" t="s">
        <v>129</v>
      </c>
      <c r="R7" s="9">
        <v>106</v>
      </c>
      <c r="S7" s="18" t="s">
        <v>204</v>
      </c>
      <c r="T7" s="8" t="s">
        <v>205</v>
      </c>
      <c r="U7" s="8" t="s">
        <v>206</v>
      </c>
      <c r="V7" s="8" t="s">
        <v>207</v>
      </c>
      <c r="W7" s="8" t="s">
        <v>208</v>
      </c>
      <c r="X7" s="8" t="s">
        <v>217</v>
      </c>
      <c r="Y7" s="8" t="s">
        <v>210</v>
      </c>
      <c r="Z7" s="8" t="s">
        <v>211</v>
      </c>
    </row>
    <row r="8" spans="1:26" ht="15" customHeight="1">
      <c r="A8" s="6" t="s">
        <v>218</v>
      </c>
      <c r="B8" s="6" t="s">
        <v>198</v>
      </c>
      <c r="C8" s="6" t="s">
        <v>199</v>
      </c>
      <c r="D8" s="6" t="s">
        <v>200</v>
      </c>
      <c r="E8" s="7">
        <v>6.7</v>
      </c>
      <c r="F8" s="6" t="s">
        <v>201</v>
      </c>
      <c r="G8" s="16" t="s">
        <v>202</v>
      </c>
      <c r="H8" s="6" t="s">
        <v>94</v>
      </c>
      <c r="I8" s="7">
        <v>1.07</v>
      </c>
      <c r="J8" s="6" t="s">
        <v>203</v>
      </c>
      <c r="K8" s="7">
        <v>5</v>
      </c>
      <c r="L8" s="7">
        <v>90</v>
      </c>
      <c r="M8" s="7">
        <v>850</v>
      </c>
      <c r="N8" s="7">
        <v>1</v>
      </c>
      <c r="O8" s="50">
        <f t="shared" si="0"/>
        <v>850</v>
      </c>
      <c r="P8" s="17">
        <v>45413</v>
      </c>
      <c r="Q8" s="6" t="s">
        <v>129</v>
      </c>
      <c r="R8" s="7">
        <v>107</v>
      </c>
      <c r="S8" s="16" t="s">
        <v>204</v>
      </c>
      <c r="T8" s="6" t="s">
        <v>205</v>
      </c>
      <c r="U8" s="6" t="s">
        <v>206</v>
      </c>
      <c r="V8" s="6" t="s">
        <v>207</v>
      </c>
      <c r="W8" s="6" t="s">
        <v>208</v>
      </c>
      <c r="X8" s="6" t="s">
        <v>219</v>
      </c>
      <c r="Y8" s="6" t="s">
        <v>210</v>
      </c>
      <c r="Z8" s="6" t="s">
        <v>211</v>
      </c>
    </row>
    <row r="9" spans="1:26" ht="15" customHeight="1">
      <c r="A9" s="8" t="s">
        <v>220</v>
      </c>
      <c r="B9" s="8" t="s">
        <v>198</v>
      </c>
      <c r="C9" s="8" t="s">
        <v>199</v>
      </c>
      <c r="D9" s="8" t="s">
        <v>200</v>
      </c>
      <c r="E9" s="9">
        <v>6.8</v>
      </c>
      <c r="F9" s="8" t="s">
        <v>201</v>
      </c>
      <c r="G9" s="18" t="s">
        <v>202</v>
      </c>
      <c r="H9" s="8" t="s">
        <v>102</v>
      </c>
      <c r="I9" s="9">
        <v>1.03</v>
      </c>
      <c r="J9" s="8" t="s">
        <v>203</v>
      </c>
      <c r="K9" s="9">
        <v>5</v>
      </c>
      <c r="L9" s="9">
        <v>100</v>
      </c>
      <c r="M9" s="9">
        <v>860</v>
      </c>
      <c r="N9" s="9">
        <v>0.9</v>
      </c>
      <c r="O9" s="50">
        <f t="shared" si="0"/>
        <v>774</v>
      </c>
      <c r="P9" s="19">
        <v>45809</v>
      </c>
      <c r="Q9" s="8" t="s">
        <v>129</v>
      </c>
      <c r="R9" s="9">
        <v>107</v>
      </c>
      <c r="S9" s="18" t="s">
        <v>204</v>
      </c>
      <c r="T9" s="8" t="s">
        <v>205</v>
      </c>
      <c r="U9" s="8" t="s">
        <v>206</v>
      </c>
      <c r="V9" s="8" t="s">
        <v>207</v>
      </c>
      <c r="W9" s="8" t="s">
        <v>208</v>
      </c>
      <c r="X9" s="8" t="s">
        <v>221</v>
      </c>
      <c r="Y9" s="8" t="s">
        <v>210</v>
      </c>
      <c r="Z9" s="8" t="s">
        <v>211</v>
      </c>
    </row>
    <row r="10" spans="1:26" ht="15" customHeight="1">
      <c r="A10" s="6" t="s">
        <v>222</v>
      </c>
      <c r="B10" s="6" t="s">
        <v>198</v>
      </c>
      <c r="C10" s="6" t="s">
        <v>199</v>
      </c>
      <c r="D10" s="6" t="s">
        <v>200</v>
      </c>
      <c r="E10" s="7">
        <v>7</v>
      </c>
      <c r="F10" s="6" t="s">
        <v>201</v>
      </c>
      <c r="G10" s="16" t="s">
        <v>202</v>
      </c>
      <c r="H10" s="6" t="s">
        <v>90</v>
      </c>
      <c r="I10" s="7">
        <v>1</v>
      </c>
      <c r="J10" s="6" t="s">
        <v>203</v>
      </c>
      <c r="K10" s="7">
        <v>5</v>
      </c>
      <c r="L10" s="7">
        <v>110</v>
      </c>
      <c r="M10" s="7">
        <v>875</v>
      </c>
      <c r="N10" s="7">
        <v>1.2</v>
      </c>
      <c r="O10" s="50">
        <f t="shared" si="0"/>
        <v>1050</v>
      </c>
      <c r="P10" s="17">
        <v>45474</v>
      </c>
      <c r="Q10" s="6" t="s">
        <v>129</v>
      </c>
      <c r="R10" s="7">
        <v>108</v>
      </c>
      <c r="S10" s="16" t="s">
        <v>204</v>
      </c>
      <c r="T10" s="6" t="s">
        <v>205</v>
      </c>
      <c r="U10" s="6" t="s">
        <v>206</v>
      </c>
      <c r="V10" s="6" t="s">
        <v>207</v>
      </c>
      <c r="W10" s="6" t="s">
        <v>208</v>
      </c>
      <c r="X10" s="6" t="s">
        <v>223</v>
      </c>
      <c r="Y10" s="6" t="s">
        <v>210</v>
      </c>
      <c r="Z10" s="6" t="s">
        <v>211</v>
      </c>
    </row>
    <row r="11" spans="1:26" ht="15" customHeight="1">
      <c r="A11" s="8" t="s">
        <v>224</v>
      </c>
      <c r="B11" s="8" t="s">
        <v>225</v>
      </c>
      <c r="C11" s="8" t="s">
        <v>226</v>
      </c>
      <c r="D11" s="8" t="s">
        <v>227</v>
      </c>
      <c r="E11" s="9">
        <v>5</v>
      </c>
      <c r="F11" s="8" t="s">
        <v>228</v>
      </c>
      <c r="G11" s="18" t="s">
        <v>202</v>
      </c>
      <c r="H11" s="8" t="s">
        <v>90</v>
      </c>
      <c r="I11" s="9">
        <v>1</v>
      </c>
      <c r="J11" s="8" t="s">
        <v>203</v>
      </c>
      <c r="K11" s="9">
        <v>4</v>
      </c>
      <c r="L11" s="9">
        <v>100</v>
      </c>
      <c r="M11" s="9">
        <v>15.8</v>
      </c>
      <c r="N11" s="9">
        <v>0.8</v>
      </c>
      <c r="O11" s="50">
        <f t="shared" si="0"/>
        <v>12.64</v>
      </c>
      <c r="P11" s="19">
        <v>45292</v>
      </c>
      <c r="Q11" s="8" t="s">
        <v>133</v>
      </c>
      <c r="R11" s="9">
        <v>107</v>
      </c>
      <c r="S11" s="18" t="s">
        <v>204</v>
      </c>
      <c r="T11" s="8" t="s">
        <v>205</v>
      </c>
      <c r="U11" s="8" t="s">
        <v>206</v>
      </c>
      <c r="V11" s="8" t="s">
        <v>207</v>
      </c>
      <c r="W11" s="8" t="s">
        <v>208</v>
      </c>
      <c r="X11" s="8" t="s">
        <v>229</v>
      </c>
      <c r="Y11" s="8" t="s">
        <v>210</v>
      </c>
      <c r="Z11" s="8" t="s">
        <v>230</v>
      </c>
    </row>
    <row r="12" spans="1:26" ht="15" customHeight="1">
      <c r="A12" s="6" t="s">
        <v>231</v>
      </c>
      <c r="B12" s="6" t="s">
        <v>225</v>
      </c>
      <c r="C12" s="6" t="s">
        <v>226</v>
      </c>
      <c r="D12" s="6" t="s">
        <v>227</v>
      </c>
      <c r="E12" s="7">
        <v>5</v>
      </c>
      <c r="F12" s="6" t="s">
        <v>228</v>
      </c>
      <c r="G12" s="16" t="s">
        <v>202</v>
      </c>
      <c r="H12" s="6" t="s">
        <v>102</v>
      </c>
      <c r="I12" s="7">
        <v>1.03</v>
      </c>
      <c r="J12" s="6" t="s">
        <v>203</v>
      </c>
      <c r="K12" s="7">
        <v>4</v>
      </c>
      <c r="L12" s="7">
        <v>150</v>
      </c>
      <c r="M12" s="7">
        <v>16.100000000000001</v>
      </c>
      <c r="N12" s="7">
        <v>0.9</v>
      </c>
      <c r="O12" s="50">
        <f t="shared" si="0"/>
        <v>14.490000000000002</v>
      </c>
      <c r="P12" s="17">
        <v>45689</v>
      </c>
      <c r="Q12" s="6" t="s">
        <v>133</v>
      </c>
      <c r="R12" s="7">
        <v>108</v>
      </c>
      <c r="S12" s="16" t="s">
        <v>204</v>
      </c>
      <c r="T12" s="6" t="s">
        <v>205</v>
      </c>
      <c r="U12" s="6" t="s">
        <v>206</v>
      </c>
      <c r="V12" s="6" t="s">
        <v>207</v>
      </c>
      <c r="W12" s="6" t="s">
        <v>208</v>
      </c>
      <c r="X12" s="6" t="s">
        <v>232</v>
      </c>
      <c r="Y12" s="6" t="s">
        <v>210</v>
      </c>
      <c r="Z12" s="6" t="s">
        <v>230</v>
      </c>
    </row>
    <row r="13" spans="1:26" ht="15" customHeight="1">
      <c r="A13" s="8" t="s">
        <v>233</v>
      </c>
      <c r="B13" s="8" t="s">
        <v>225</v>
      </c>
      <c r="C13" s="8" t="s">
        <v>226</v>
      </c>
      <c r="D13" s="8" t="s">
        <v>227</v>
      </c>
      <c r="E13" s="9">
        <v>5.2</v>
      </c>
      <c r="F13" s="8" t="s">
        <v>228</v>
      </c>
      <c r="G13" s="18" t="s">
        <v>202</v>
      </c>
      <c r="H13" s="8" t="s">
        <v>112</v>
      </c>
      <c r="I13" s="9">
        <v>0.88</v>
      </c>
      <c r="J13" s="8" t="s">
        <v>203</v>
      </c>
      <c r="K13" s="9">
        <v>5</v>
      </c>
      <c r="L13" s="9">
        <v>200</v>
      </c>
      <c r="M13" s="9">
        <v>16.399999999999999</v>
      </c>
      <c r="N13" s="9">
        <v>1</v>
      </c>
      <c r="O13" s="50">
        <f t="shared" si="0"/>
        <v>16.399999999999999</v>
      </c>
      <c r="P13" s="19">
        <v>45352</v>
      </c>
      <c r="Q13" s="8" t="s">
        <v>133</v>
      </c>
      <c r="R13" s="9">
        <v>109</v>
      </c>
      <c r="S13" s="18" t="s">
        <v>204</v>
      </c>
      <c r="T13" s="8" t="s">
        <v>205</v>
      </c>
      <c r="U13" s="8" t="s">
        <v>206</v>
      </c>
      <c r="V13" s="8" t="s">
        <v>207</v>
      </c>
      <c r="W13" s="8" t="s">
        <v>208</v>
      </c>
      <c r="X13" s="8" t="s">
        <v>234</v>
      </c>
      <c r="Y13" s="8" t="s">
        <v>210</v>
      </c>
      <c r="Z13" s="8" t="s">
        <v>230</v>
      </c>
    </row>
    <row r="14" spans="1:26" ht="15" customHeight="1">
      <c r="A14" s="6" t="s">
        <v>235</v>
      </c>
      <c r="B14" s="6" t="s">
        <v>225</v>
      </c>
      <c r="C14" s="6" t="s">
        <v>226</v>
      </c>
      <c r="D14" s="6" t="s">
        <v>227</v>
      </c>
      <c r="E14" s="7">
        <v>5.4</v>
      </c>
      <c r="F14" s="6" t="s">
        <v>228</v>
      </c>
      <c r="G14" s="16" t="s">
        <v>202</v>
      </c>
      <c r="H14" s="6" t="s">
        <v>90</v>
      </c>
      <c r="I14" s="7">
        <v>1</v>
      </c>
      <c r="J14" s="6" t="s">
        <v>203</v>
      </c>
      <c r="K14" s="7">
        <v>5</v>
      </c>
      <c r="L14" s="7">
        <v>250</v>
      </c>
      <c r="M14" s="7">
        <v>16.7</v>
      </c>
      <c r="N14" s="7">
        <v>1.1000000000000001</v>
      </c>
      <c r="O14" s="50">
        <f t="shared" si="0"/>
        <v>18.37</v>
      </c>
      <c r="P14" s="17">
        <v>45748</v>
      </c>
      <c r="Q14" s="6" t="s">
        <v>133</v>
      </c>
      <c r="R14" s="7">
        <v>110</v>
      </c>
      <c r="S14" s="16" t="s">
        <v>204</v>
      </c>
      <c r="T14" s="6" t="s">
        <v>205</v>
      </c>
      <c r="U14" s="6" t="s">
        <v>206</v>
      </c>
      <c r="V14" s="6" t="s">
        <v>207</v>
      </c>
      <c r="W14" s="6" t="s">
        <v>208</v>
      </c>
      <c r="X14" s="6" t="s">
        <v>236</v>
      </c>
      <c r="Y14" s="6" t="s">
        <v>210</v>
      </c>
      <c r="Z14" s="6" t="s">
        <v>230</v>
      </c>
    </row>
    <row r="15" spans="1:26" ht="15" customHeight="1">
      <c r="A15" s="8" t="s">
        <v>237</v>
      </c>
      <c r="B15" s="8" t="s">
        <v>225</v>
      </c>
      <c r="C15" s="8" t="s">
        <v>226</v>
      </c>
      <c r="D15" s="8" t="s">
        <v>227</v>
      </c>
      <c r="E15" s="9">
        <v>5.5</v>
      </c>
      <c r="F15" s="8" t="s">
        <v>228</v>
      </c>
      <c r="G15" s="18" t="s">
        <v>202</v>
      </c>
      <c r="H15" s="8" t="s">
        <v>102</v>
      </c>
      <c r="I15" s="9">
        <v>1.03</v>
      </c>
      <c r="J15" s="8" t="s">
        <v>203</v>
      </c>
      <c r="K15" s="9">
        <v>5</v>
      </c>
      <c r="L15" s="9">
        <v>300</v>
      </c>
      <c r="M15" s="9">
        <v>17</v>
      </c>
      <c r="N15" s="9">
        <v>1</v>
      </c>
      <c r="O15" s="50">
        <f t="shared" si="0"/>
        <v>17</v>
      </c>
      <c r="P15" s="19">
        <v>45413</v>
      </c>
      <c r="Q15" s="8" t="s">
        <v>133</v>
      </c>
      <c r="R15" s="9">
        <v>111</v>
      </c>
      <c r="S15" s="18" t="s">
        <v>204</v>
      </c>
      <c r="T15" s="8" t="s">
        <v>205</v>
      </c>
      <c r="U15" s="8" t="s">
        <v>206</v>
      </c>
      <c r="V15" s="8" t="s">
        <v>207</v>
      </c>
      <c r="W15" s="8" t="s">
        <v>208</v>
      </c>
      <c r="X15" s="8" t="s">
        <v>238</v>
      </c>
      <c r="Y15" s="8" t="s">
        <v>210</v>
      </c>
      <c r="Z15" s="8" t="s">
        <v>230</v>
      </c>
    </row>
    <row r="16" spans="1:26" ht="15" customHeight="1">
      <c r="A16" s="6" t="s">
        <v>239</v>
      </c>
      <c r="B16" s="6" t="s">
        <v>225</v>
      </c>
      <c r="C16" s="6" t="s">
        <v>226</v>
      </c>
      <c r="D16" s="6" t="s">
        <v>227</v>
      </c>
      <c r="E16" s="7">
        <v>5.6</v>
      </c>
      <c r="F16" s="6" t="s">
        <v>228</v>
      </c>
      <c r="G16" s="16" t="s">
        <v>202</v>
      </c>
      <c r="H16" s="6" t="s">
        <v>112</v>
      </c>
      <c r="I16" s="7">
        <v>0.88</v>
      </c>
      <c r="J16" s="6" t="s">
        <v>203</v>
      </c>
      <c r="K16" s="7">
        <v>5</v>
      </c>
      <c r="L16" s="7">
        <v>350</v>
      </c>
      <c r="M16" s="7">
        <v>17.2</v>
      </c>
      <c r="N16" s="7">
        <v>0.9</v>
      </c>
      <c r="O16" s="50">
        <f t="shared" si="0"/>
        <v>15.48</v>
      </c>
      <c r="P16" s="17">
        <v>45809</v>
      </c>
      <c r="Q16" s="6" t="s">
        <v>133</v>
      </c>
      <c r="R16" s="7">
        <v>112</v>
      </c>
      <c r="S16" s="16" t="s">
        <v>204</v>
      </c>
      <c r="T16" s="6" t="s">
        <v>205</v>
      </c>
      <c r="U16" s="6" t="s">
        <v>206</v>
      </c>
      <c r="V16" s="6" t="s">
        <v>207</v>
      </c>
      <c r="W16" s="6" t="s">
        <v>208</v>
      </c>
      <c r="X16" s="6" t="s">
        <v>240</v>
      </c>
      <c r="Y16" s="6" t="s">
        <v>210</v>
      </c>
      <c r="Z16" s="6" t="s">
        <v>230</v>
      </c>
    </row>
    <row r="17" spans="1:26" ht="15" customHeight="1">
      <c r="A17" s="8" t="s">
        <v>241</v>
      </c>
      <c r="B17" s="8" t="s">
        <v>225</v>
      </c>
      <c r="C17" s="8" t="s">
        <v>226</v>
      </c>
      <c r="D17" s="8" t="s">
        <v>227</v>
      </c>
      <c r="E17" s="9">
        <v>5.8</v>
      </c>
      <c r="F17" s="8" t="s">
        <v>228</v>
      </c>
      <c r="G17" s="18" t="s">
        <v>202</v>
      </c>
      <c r="H17" s="8" t="s">
        <v>90</v>
      </c>
      <c r="I17" s="9">
        <v>1</v>
      </c>
      <c r="J17" s="8" t="s">
        <v>203</v>
      </c>
      <c r="K17" s="9">
        <v>5</v>
      </c>
      <c r="L17" s="9">
        <v>400</v>
      </c>
      <c r="M17" s="9">
        <v>17.399999999999999</v>
      </c>
      <c r="N17" s="9">
        <v>1.2</v>
      </c>
      <c r="O17" s="50">
        <f t="shared" si="0"/>
        <v>20.88</v>
      </c>
      <c r="P17" s="19">
        <v>45474</v>
      </c>
      <c r="Q17" s="8" t="s">
        <v>133</v>
      </c>
      <c r="R17" s="9">
        <v>113</v>
      </c>
      <c r="S17" s="18" t="s">
        <v>204</v>
      </c>
      <c r="T17" s="8" t="s">
        <v>205</v>
      </c>
      <c r="U17" s="8" t="s">
        <v>206</v>
      </c>
      <c r="V17" s="8" t="s">
        <v>207</v>
      </c>
      <c r="W17" s="8" t="s">
        <v>208</v>
      </c>
      <c r="X17" s="8" t="s">
        <v>242</v>
      </c>
      <c r="Y17" s="8" t="s">
        <v>210</v>
      </c>
      <c r="Z17" s="8" t="s">
        <v>230</v>
      </c>
    </row>
    <row r="18" spans="1:26" ht="15" customHeight="1">
      <c r="A18" s="6" t="s">
        <v>243</v>
      </c>
      <c r="B18" s="6" t="s">
        <v>244</v>
      </c>
      <c r="C18" s="6" t="s">
        <v>245</v>
      </c>
      <c r="D18" s="6" t="s">
        <v>246</v>
      </c>
      <c r="E18" s="7">
        <v>5.5</v>
      </c>
      <c r="F18" s="6" t="s">
        <v>247</v>
      </c>
      <c r="G18" s="16" t="s">
        <v>202</v>
      </c>
      <c r="H18" s="6" t="s">
        <v>90</v>
      </c>
      <c r="I18" s="7">
        <v>1</v>
      </c>
      <c r="J18" s="6" t="s">
        <v>203</v>
      </c>
      <c r="K18" s="7">
        <v>5</v>
      </c>
      <c r="L18" s="7">
        <v>6</v>
      </c>
      <c r="M18" s="7">
        <v>3600</v>
      </c>
      <c r="N18" s="7">
        <v>0.8</v>
      </c>
      <c r="O18" s="50">
        <f t="shared" si="0"/>
        <v>2880</v>
      </c>
      <c r="P18" s="17">
        <v>45292</v>
      </c>
      <c r="Q18" s="6" t="s">
        <v>137</v>
      </c>
      <c r="R18" s="7">
        <v>112</v>
      </c>
      <c r="S18" s="16" t="s">
        <v>204</v>
      </c>
      <c r="T18" s="6" t="s">
        <v>205</v>
      </c>
      <c r="U18" s="6" t="s">
        <v>206</v>
      </c>
      <c r="V18" s="6" t="s">
        <v>207</v>
      </c>
      <c r="W18" s="6" t="s">
        <v>208</v>
      </c>
      <c r="X18" s="6" t="s">
        <v>248</v>
      </c>
      <c r="Y18" s="6" t="s">
        <v>210</v>
      </c>
      <c r="Z18" s="6" t="s">
        <v>249</v>
      </c>
    </row>
    <row r="19" spans="1:26" ht="15" customHeight="1">
      <c r="A19" s="8" t="s">
        <v>250</v>
      </c>
      <c r="B19" s="8" t="s">
        <v>244</v>
      </c>
      <c r="C19" s="8" t="s">
        <v>245</v>
      </c>
      <c r="D19" s="8" t="s">
        <v>246</v>
      </c>
      <c r="E19" s="9">
        <v>5.5</v>
      </c>
      <c r="F19" s="8" t="s">
        <v>247</v>
      </c>
      <c r="G19" s="18" t="s">
        <v>202</v>
      </c>
      <c r="H19" s="8" t="s">
        <v>94</v>
      </c>
      <c r="I19" s="9">
        <v>1.07</v>
      </c>
      <c r="J19" s="8" t="s">
        <v>203</v>
      </c>
      <c r="K19" s="9">
        <v>5</v>
      </c>
      <c r="L19" s="9">
        <v>6</v>
      </c>
      <c r="M19" s="9">
        <v>3680</v>
      </c>
      <c r="N19" s="9">
        <v>0.9</v>
      </c>
      <c r="O19" s="50">
        <f t="shared" si="0"/>
        <v>3312</v>
      </c>
      <c r="P19" s="19">
        <v>45689</v>
      </c>
      <c r="Q19" s="8" t="s">
        <v>137</v>
      </c>
      <c r="R19" s="9">
        <v>113</v>
      </c>
      <c r="S19" s="18" t="s">
        <v>204</v>
      </c>
      <c r="T19" s="8" t="s">
        <v>205</v>
      </c>
      <c r="U19" s="8" t="s">
        <v>206</v>
      </c>
      <c r="V19" s="8" t="s">
        <v>207</v>
      </c>
      <c r="W19" s="8" t="s">
        <v>208</v>
      </c>
      <c r="X19" s="8" t="s">
        <v>251</v>
      </c>
      <c r="Y19" s="8" t="s">
        <v>210</v>
      </c>
      <c r="Z19" s="8" t="s">
        <v>249</v>
      </c>
    </row>
    <row r="20" spans="1:26" ht="15" customHeight="1">
      <c r="A20" s="6" t="s">
        <v>252</v>
      </c>
      <c r="B20" s="6" t="s">
        <v>244</v>
      </c>
      <c r="C20" s="6" t="s">
        <v>245</v>
      </c>
      <c r="D20" s="6" t="s">
        <v>246</v>
      </c>
      <c r="E20" s="7">
        <v>5.7</v>
      </c>
      <c r="F20" s="6" t="s">
        <v>247</v>
      </c>
      <c r="G20" s="16" t="s">
        <v>202</v>
      </c>
      <c r="H20" s="6" t="s">
        <v>98</v>
      </c>
      <c r="I20" s="7">
        <v>0.94</v>
      </c>
      <c r="J20" s="6" t="s">
        <v>203</v>
      </c>
      <c r="K20" s="7">
        <v>5</v>
      </c>
      <c r="L20" s="7">
        <v>12</v>
      </c>
      <c r="M20" s="7">
        <v>3720</v>
      </c>
      <c r="N20" s="7">
        <v>1</v>
      </c>
      <c r="O20" s="50">
        <f t="shared" si="0"/>
        <v>3720</v>
      </c>
      <c r="P20" s="17">
        <v>45352</v>
      </c>
      <c r="Q20" s="6" t="s">
        <v>137</v>
      </c>
      <c r="R20" s="7">
        <v>114</v>
      </c>
      <c r="S20" s="16" t="s">
        <v>204</v>
      </c>
      <c r="T20" s="6" t="s">
        <v>205</v>
      </c>
      <c r="U20" s="6" t="s">
        <v>206</v>
      </c>
      <c r="V20" s="6" t="s">
        <v>207</v>
      </c>
      <c r="W20" s="6" t="s">
        <v>208</v>
      </c>
      <c r="X20" s="6" t="s">
        <v>253</v>
      </c>
      <c r="Y20" s="6" t="s">
        <v>210</v>
      </c>
      <c r="Z20" s="6" t="s">
        <v>249</v>
      </c>
    </row>
    <row r="21" spans="1:26" ht="15" customHeight="1">
      <c r="A21" s="8" t="s">
        <v>254</v>
      </c>
      <c r="B21" s="8" t="s">
        <v>244</v>
      </c>
      <c r="C21" s="8" t="s">
        <v>245</v>
      </c>
      <c r="D21" s="8" t="s">
        <v>246</v>
      </c>
      <c r="E21" s="9">
        <v>5.8</v>
      </c>
      <c r="F21" s="8" t="s">
        <v>247</v>
      </c>
      <c r="G21" s="18" t="s">
        <v>202</v>
      </c>
      <c r="H21" s="8" t="s">
        <v>90</v>
      </c>
      <c r="I21" s="9">
        <v>1</v>
      </c>
      <c r="J21" s="8" t="s">
        <v>203</v>
      </c>
      <c r="K21" s="9">
        <v>5</v>
      </c>
      <c r="L21" s="9">
        <v>12</v>
      </c>
      <c r="M21" s="9">
        <v>3800</v>
      </c>
      <c r="N21" s="9">
        <v>1.1000000000000001</v>
      </c>
      <c r="O21" s="50">
        <f t="shared" si="0"/>
        <v>4180</v>
      </c>
      <c r="P21" s="19">
        <v>45748</v>
      </c>
      <c r="Q21" s="8" t="s">
        <v>137</v>
      </c>
      <c r="R21" s="9">
        <v>115</v>
      </c>
      <c r="S21" s="18" t="s">
        <v>204</v>
      </c>
      <c r="T21" s="8" t="s">
        <v>205</v>
      </c>
      <c r="U21" s="8" t="s">
        <v>206</v>
      </c>
      <c r="V21" s="8" t="s">
        <v>207</v>
      </c>
      <c r="W21" s="8" t="s">
        <v>208</v>
      </c>
      <c r="X21" s="8" t="s">
        <v>255</v>
      </c>
      <c r="Y21" s="8" t="s">
        <v>210</v>
      </c>
      <c r="Z21" s="8" t="s">
        <v>249</v>
      </c>
    </row>
    <row r="22" spans="1:26" ht="15" customHeight="1">
      <c r="A22" s="6" t="s">
        <v>256</v>
      </c>
      <c r="B22" s="6" t="s">
        <v>244</v>
      </c>
      <c r="C22" s="6" t="s">
        <v>245</v>
      </c>
      <c r="D22" s="6" t="s">
        <v>246</v>
      </c>
      <c r="E22" s="7">
        <v>6</v>
      </c>
      <c r="F22" s="6" t="s">
        <v>247</v>
      </c>
      <c r="G22" s="16" t="s">
        <v>202</v>
      </c>
      <c r="H22" s="6" t="s">
        <v>94</v>
      </c>
      <c r="I22" s="7">
        <v>1.07</v>
      </c>
      <c r="J22" s="6" t="s">
        <v>203</v>
      </c>
      <c r="K22" s="7">
        <v>6</v>
      </c>
      <c r="L22" s="7">
        <v>12</v>
      </c>
      <c r="M22" s="7">
        <v>3860</v>
      </c>
      <c r="N22" s="7">
        <v>1</v>
      </c>
      <c r="O22" s="50">
        <f t="shared" si="0"/>
        <v>3860</v>
      </c>
      <c r="P22" s="17">
        <v>45413</v>
      </c>
      <c r="Q22" s="6" t="s">
        <v>137</v>
      </c>
      <c r="R22" s="7">
        <v>116</v>
      </c>
      <c r="S22" s="16" t="s">
        <v>204</v>
      </c>
      <c r="T22" s="6" t="s">
        <v>205</v>
      </c>
      <c r="U22" s="6" t="s">
        <v>206</v>
      </c>
      <c r="V22" s="6" t="s">
        <v>207</v>
      </c>
      <c r="W22" s="6" t="s">
        <v>208</v>
      </c>
      <c r="X22" s="6" t="s">
        <v>257</v>
      </c>
      <c r="Y22" s="6" t="s">
        <v>210</v>
      </c>
      <c r="Z22" s="6" t="s">
        <v>249</v>
      </c>
    </row>
    <row r="23" spans="1:26" ht="15" customHeight="1">
      <c r="A23" s="8" t="s">
        <v>258</v>
      </c>
      <c r="B23" s="8" t="s">
        <v>244</v>
      </c>
      <c r="C23" s="8" t="s">
        <v>245</v>
      </c>
      <c r="D23" s="8" t="s">
        <v>246</v>
      </c>
      <c r="E23" s="9">
        <v>6</v>
      </c>
      <c r="F23" s="8" t="s">
        <v>247</v>
      </c>
      <c r="G23" s="18" t="s">
        <v>202</v>
      </c>
      <c r="H23" s="8" t="s">
        <v>98</v>
      </c>
      <c r="I23" s="9">
        <v>0.94</v>
      </c>
      <c r="J23" s="8" t="s">
        <v>203</v>
      </c>
      <c r="K23" s="9">
        <v>6</v>
      </c>
      <c r="L23" s="9">
        <v>18</v>
      </c>
      <c r="M23" s="9">
        <v>3920</v>
      </c>
      <c r="N23" s="9">
        <v>0.9</v>
      </c>
      <c r="O23" s="50">
        <f t="shared" si="0"/>
        <v>3528</v>
      </c>
      <c r="P23" s="19">
        <v>45809</v>
      </c>
      <c r="Q23" s="8" t="s">
        <v>137</v>
      </c>
      <c r="R23" s="9">
        <v>118</v>
      </c>
      <c r="S23" s="18" t="s">
        <v>204</v>
      </c>
      <c r="T23" s="8" t="s">
        <v>205</v>
      </c>
      <c r="U23" s="8" t="s">
        <v>206</v>
      </c>
      <c r="V23" s="8" t="s">
        <v>207</v>
      </c>
      <c r="W23" s="8" t="s">
        <v>208</v>
      </c>
      <c r="X23" s="8" t="s">
        <v>259</v>
      </c>
      <c r="Y23" s="8" t="s">
        <v>210</v>
      </c>
      <c r="Z23" s="8" t="s">
        <v>249</v>
      </c>
    </row>
    <row r="24" spans="1:26" ht="15" customHeight="1">
      <c r="A24" s="6" t="s">
        <v>260</v>
      </c>
      <c r="B24" s="6" t="s">
        <v>244</v>
      </c>
      <c r="C24" s="6" t="s">
        <v>245</v>
      </c>
      <c r="D24" s="6" t="s">
        <v>246</v>
      </c>
      <c r="E24" s="7">
        <v>6.2</v>
      </c>
      <c r="F24" s="6" t="s">
        <v>247</v>
      </c>
      <c r="G24" s="16" t="s">
        <v>202</v>
      </c>
      <c r="H24" s="6" t="s">
        <v>90</v>
      </c>
      <c r="I24" s="7">
        <v>1</v>
      </c>
      <c r="J24" s="6" t="s">
        <v>203</v>
      </c>
      <c r="K24" s="7">
        <v>6</v>
      </c>
      <c r="L24" s="7">
        <v>18</v>
      </c>
      <c r="M24" s="7">
        <v>3980</v>
      </c>
      <c r="N24" s="7">
        <v>1.2</v>
      </c>
      <c r="O24" s="50">
        <f t="shared" si="0"/>
        <v>4776</v>
      </c>
      <c r="P24" s="17">
        <v>45474</v>
      </c>
      <c r="Q24" s="6" t="s">
        <v>137</v>
      </c>
      <c r="R24" s="7">
        <v>119</v>
      </c>
      <c r="S24" s="16" t="s">
        <v>204</v>
      </c>
      <c r="T24" s="6" t="s">
        <v>205</v>
      </c>
      <c r="U24" s="6" t="s">
        <v>206</v>
      </c>
      <c r="V24" s="6" t="s">
        <v>207</v>
      </c>
      <c r="W24" s="6" t="s">
        <v>208</v>
      </c>
      <c r="X24" s="6" t="s">
        <v>261</v>
      </c>
      <c r="Y24" s="6" t="s">
        <v>210</v>
      </c>
      <c r="Z24" s="6" t="s">
        <v>249</v>
      </c>
    </row>
    <row r="25" spans="1:26" ht="15" customHeight="1">
      <c r="A25" s="8" t="s">
        <v>262</v>
      </c>
      <c r="B25" s="8" t="s">
        <v>263</v>
      </c>
      <c r="C25" s="8" t="s">
        <v>264</v>
      </c>
      <c r="D25" s="8" t="s">
        <v>265</v>
      </c>
      <c r="E25" s="9">
        <v>6</v>
      </c>
      <c r="F25" s="8" t="s">
        <v>247</v>
      </c>
      <c r="G25" s="18" t="s">
        <v>202</v>
      </c>
      <c r="H25" s="8" t="s">
        <v>90</v>
      </c>
      <c r="I25" s="9">
        <v>1</v>
      </c>
      <c r="J25" s="8" t="s">
        <v>266</v>
      </c>
      <c r="K25" s="9">
        <v>6</v>
      </c>
      <c r="L25" s="9">
        <v>12</v>
      </c>
      <c r="M25" s="9">
        <v>1100</v>
      </c>
      <c r="N25" s="9">
        <v>0.8</v>
      </c>
      <c r="O25" s="50">
        <f t="shared" si="0"/>
        <v>880</v>
      </c>
      <c r="P25" s="19">
        <v>45292</v>
      </c>
      <c r="Q25" s="8" t="s">
        <v>141</v>
      </c>
      <c r="R25" s="9">
        <v>108</v>
      </c>
      <c r="S25" s="18" t="s">
        <v>204</v>
      </c>
      <c r="T25" s="8" t="s">
        <v>205</v>
      </c>
      <c r="U25" s="8" t="s">
        <v>206</v>
      </c>
      <c r="V25" s="8" t="s">
        <v>207</v>
      </c>
      <c r="W25" s="8" t="s">
        <v>208</v>
      </c>
      <c r="X25" s="8" t="s">
        <v>267</v>
      </c>
      <c r="Y25" s="8" t="s">
        <v>210</v>
      </c>
      <c r="Z25" s="8" t="s">
        <v>268</v>
      </c>
    </row>
    <row r="26" spans="1:26" ht="15" customHeight="1">
      <c r="A26" s="6" t="s">
        <v>269</v>
      </c>
      <c r="B26" s="6" t="s">
        <v>263</v>
      </c>
      <c r="C26" s="6" t="s">
        <v>264</v>
      </c>
      <c r="D26" s="6" t="s">
        <v>265</v>
      </c>
      <c r="E26" s="7">
        <v>6</v>
      </c>
      <c r="F26" s="6" t="s">
        <v>247</v>
      </c>
      <c r="G26" s="16" t="s">
        <v>202</v>
      </c>
      <c r="H26" s="6" t="s">
        <v>112</v>
      </c>
      <c r="I26" s="7">
        <v>0.88</v>
      </c>
      <c r="J26" s="6" t="s">
        <v>266</v>
      </c>
      <c r="K26" s="7">
        <v>6</v>
      </c>
      <c r="L26" s="7">
        <v>12</v>
      </c>
      <c r="M26" s="7">
        <v>1130</v>
      </c>
      <c r="N26" s="7">
        <v>0.9</v>
      </c>
      <c r="O26" s="50">
        <f t="shared" si="0"/>
        <v>1017</v>
      </c>
      <c r="P26" s="17">
        <v>45689</v>
      </c>
      <c r="Q26" s="6" t="s">
        <v>141</v>
      </c>
      <c r="R26" s="7">
        <v>109</v>
      </c>
      <c r="S26" s="16" t="s">
        <v>204</v>
      </c>
      <c r="T26" s="6" t="s">
        <v>205</v>
      </c>
      <c r="U26" s="6" t="s">
        <v>206</v>
      </c>
      <c r="V26" s="6" t="s">
        <v>207</v>
      </c>
      <c r="W26" s="6" t="s">
        <v>208</v>
      </c>
      <c r="X26" s="6" t="s">
        <v>270</v>
      </c>
      <c r="Y26" s="6" t="s">
        <v>210</v>
      </c>
      <c r="Z26" s="6" t="s">
        <v>268</v>
      </c>
    </row>
    <row r="27" spans="1:26" ht="15" customHeight="1">
      <c r="A27" s="8" t="s">
        <v>271</v>
      </c>
      <c r="B27" s="8" t="s">
        <v>263</v>
      </c>
      <c r="C27" s="8" t="s">
        <v>264</v>
      </c>
      <c r="D27" s="8" t="s">
        <v>265</v>
      </c>
      <c r="E27" s="9">
        <v>6.2</v>
      </c>
      <c r="F27" s="8" t="s">
        <v>247</v>
      </c>
      <c r="G27" s="18" t="s">
        <v>202</v>
      </c>
      <c r="H27" s="8" t="s">
        <v>102</v>
      </c>
      <c r="I27" s="9">
        <v>1.03</v>
      </c>
      <c r="J27" s="8" t="s">
        <v>266</v>
      </c>
      <c r="K27" s="9">
        <v>6</v>
      </c>
      <c r="L27" s="9">
        <v>24</v>
      </c>
      <c r="M27" s="9">
        <v>1160</v>
      </c>
      <c r="N27" s="9">
        <v>1</v>
      </c>
      <c r="O27" s="50">
        <f t="shared" si="0"/>
        <v>1160</v>
      </c>
      <c r="P27" s="19">
        <v>45352</v>
      </c>
      <c r="Q27" s="8" t="s">
        <v>141</v>
      </c>
      <c r="R27" s="9">
        <v>110</v>
      </c>
      <c r="S27" s="18" t="s">
        <v>204</v>
      </c>
      <c r="T27" s="8" t="s">
        <v>205</v>
      </c>
      <c r="U27" s="8" t="s">
        <v>206</v>
      </c>
      <c r="V27" s="8" t="s">
        <v>207</v>
      </c>
      <c r="W27" s="8" t="s">
        <v>208</v>
      </c>
      <c r="X27" s="8" t="s">
        <v>272</v>
      </c>
      <c r="Y27" s="8" t="s">
        <v>210</v>
      </c>
      <c r="Z27" s="8" t="s">
        <v>268</v>
      </c>
    </row>
    <row r="28" spans="1:26" ht="15" customHeight="1">
      <c r="A28" s="6" t="s">
        <v>273</v>
      </c>
      <c r="B28" s="6" t="s">
        <v>263</v>
      </c>
      <c r="C28" s="6" t="s">
        <v>264</v>
      </c>
      <c r="D28" s="6" t="s">
        <v>265</v>
      </c>
      <c r="E28" s="7">
        <v>6.4</v>
      </c>
      <c r="F28" s="6" t="s">
        <v>247</v>
      </c>
      <c r="G28" s="16" t="s">
        <v>202</v>
      </c>
      <c r="H28" s="6" t="s">
        <v>90</v>
      </c>
      <c r="I28" s="7">
        <v>1</v>
      </c>
      <c r="J28" s="6" t="s">
        <v>266</v>
      </c>
      <c r="K28" s="7">
        <v>7</v>
      </c>
      <c r="L28" s="7">
        <v>24</v>
      </c>
      <c r="M28" s="7">
        <v>1185</v>
      </c>
      <c r="N28" s="7">
        <v>1.1000000000000001</v>
      </c>
      <c r="O28" s="50">
        <f t="shared" si="0"/>
        <v>1303.5</v>
      </c>
      <c r="P28" s="17">
        <v>45748</v>
      </c>
      <c r="Q28" s="6" t="s">
        <v>141</v>
      </c>
      <c r="R28" s="7">
        <v>111</v>
      </c>
      <c r="S28" s="16" t="s">
        <v>204</v>
      </c>
      <c r="T28" s="6" t="s">
        <v>205</v>
      </c>
      <c r="U28" s="6" t="s">
        <v>206</v>
      </c>
      <c r="V28" s="6" t="s">
        <v>207</v>
      </c>
      <c r="W28" s="6" t="s">
        <v>208</v>
      </c>
      <c r="X28" s="6" t="s">
        <v>274</v>
      </c>
      <c r="Y28" s="6" t="s">
        <v>210</v>
      </c>
      <c r="Z28" s="6" t="s">
        <v>268</v>
      </c>
    </row>
    <row r="29" spans="1:26" ht="15" customHeight="1">
      <c r="A29" s="8" t="s">
        <v>275</v>
      </c>
      <c r="B29" s="8" t="s">
        <v>263</v>
      </c>
      <c r="C29" s="8" t="s">
        <v>264</v>
      </c>
      <c r="D29" s="8" t="s">
        <v>265</v>
      </c>
      <c r="E29" s="9">
        <v>6.5</v>
      </c>
      <c r="F29" s="8" t="s">
        <v>247</v>
      </c>
      <c r="G29" s="18" t="s">
        <v>202</v>
      </c>
      <c r="H29" s="8" t="s">
        <v>112</v>
      </c>
      <c r="I29" s="9">
        <v>0.88</v>
      </c>
      <c r="J29" s="8" t="s">
        <v>266</v>
      </c>
      <c r="K29" s="9">
        <v>7</v>
      </c>
      <c r="L29" s="9">
        <v>36</v>
      </c>
      <c r="M29" s="9">
        <v>1210</v>
      </c>
      <c r="N29" s="9">
        <v>1</v>
      </c>
      <c r="O29" s="50">
        <f t="shared" si="0"/>
        <v>1210</v>
      </c>
      <c r="P29" s="19">
        <v>45413</v>
      </c>
      <c r="Q29" s="8" t="s">
        <v>141</v>
      </c>
      <c r="R29" s="9">
        <v>112</v>
      </c>
      <c r="S29" s="18" t="s">
        <v>204</v>
      </c>
      <c r="T29" s="8" t="s">
        <v>205</v>
      </c>
      <c r="U29" s="8" t="s">
        <v>206</v>
      </c>
      <c r="V29" s="8" t="s">
        <v>207</v>
      </c>
      <c r="W29" s="8" t="s">
        <v>208</v>
      </c>
      <c r="X29" s="8" t="s">
        <v>276</v>
      </c>
      <c r="Y29" s="8" t="s">
        <v>210</v>
      </c>
      <c r="Z29" s="8" t="s">
        <v>268</v>
      </c>
    </row>
    <row r="30" spans="1:26" ht="15" customHeight="1">
      <c r="A30" s="6" t="s">
        <v>277</v>
      </c>
      <c r="B30" s="6" t="s">
        <v>263</v>
      </c>
      <c r="C30" s="6" t="s">
        <v>264</v>
      </c>
      <c r="D30" s="6" t="s">
        <v>265</v>
      </c>
      <c r="E30" s="7">
        <v>6.6</v>
      </c>
      <c r="F30" s="6" t="s">
        <v>247</v>
      </c>
      <c r="G30" s="16" t="s">
        <v>202</v>
      </c>
      <c r="H30" s="6" t="s">
        <v>102</v>
      </c>
      <c r="I30" s="7">
        <v>1.03</v>
      </c>
      <c r="J30" s="6" t="s">
        <v>266</v>
      </c>
      <c r="K30" s="7">
        <v>7</v>
      </c>
      <c r="L30" s="7">
        <v>36</v>
      </c>
      <c r="M30" s="7">
        <v>1240</v>
      </c>
      <c r="N30" s="7">
        <v>0.9</v>
      </c>
      <c r="O30" s="50">
        <f t="shared" si="0"/>
        <v>1116</v>
      </c>
      <c r="P30" s="17">
        <v>45809</v>
      </c>
      <c r="Q30" s="6" t="s">
        <v>141</v>
      </c>
      <c r="R30" s="7">
        <v>113</v>
      </c>
      <c r="S30" s="16" t="s">
        <v>204</v>
      </c>
      <c r="T30" s="6" t="s">
        <v>205</v>
      </c>
      <c r="U30" s="6" t="s">
        <v>206</v>
      </c>
      <c r="V30" s="6" t="s">
        <v>207</v>
      </c>
      <c r="W30" s="6" t="s">
        <v>208</v>
      </c>
      <c r="X30" s="6" t="s">
        <v>278</v>
      </c>
      <c r="Y30" s="6" t="s">
        <v>210</v>
      </c>
      <c r="Z30" s="6" t="s">
        <v>268</v>
      </c>
    </row>
    <row r="31" spans="1:26" ht="15" customHeight="1">
      <c r="A31" s="8" t="s">
        <v>279</v>
      </c>
      <c r="B31" s="8" t="s">
        <v>263</v>
      </c>
      <c r="C31" s="8" t="s">
        <v>264</v>
      </c>
      <c r="D31" s="8" t="s">
        <v>265</v>
      </c>
      <c r="E31" s="9">
        <v>6.8</v>
      </c>
      <c r="F31" s="8" t="s">
        <v>247</v>
      </c>
      <c r="G31" s="18" t="s">
        <v>202</v>
      </c>
      <c r="H31" s="8" t="s">
        <v>90</v>
      </c>
      <c r="I31" s="9">
        <v>1</v>
      </c>
      <c r="J31" s="8" t="s">
        <v>266</v>
      </c>
      <c r="K31" s="9">
        <v>7</v>
      </c>
      <c r="L31" s="9">
        <v>48</v>
      </c>
      <c r="M31" s="9">
        <v>1275</v>
      </c>
      <c r="N31" s="9">
        <v>1.2</v>
      </c>
      <c r="O31" s="50">
        <f t="shared" si="0"/>
        <v>1530</v>
      </c>
      <c r="P31" s="19">
        <v>45474</v>
      </c>
      <c r="Q31" s="8" t="s">
        <v>141</v>
      </c>
      <c r="R31" s="9">
        <v>114</v>
      </c>
      <c r="S31" s="18" t="s">
        <v>204</v>
      </c>
      <c r="T31" s="8" t="s">
        <v>205</v>
      </c>
      <c r="U31" s="8" t="s">
        <v>206</v>
      </c>
      <c r="V31" s="8" t="s">
        <v>207</v>
      </c>
      <c r="W31" s="8" t="s">
        <v>208</v>
      </c>
      <c r="X31" s="8" t="s">
        <v>280</v>
      </c>
      <c r="Y31" s="8" t="s">
        <v>210</v>
      </c>
      <c r="Z31" s="8" t="s">
        <v>268</v>
      </c>
    </row>
    <row r="32" spans="1:26" ht="15" customHeight="1">
      <c r="A32" s="6" t="s">
        <v>281</v>
      </c>
      <c r="B32" s="6" t="s">
        <v>282</v>
      </c>
      <c r="C32" s="6" t="s">
        <v>283</v>
      </c>
      <c r="D32" s="6" t="s">
        <v>284</v>
      </c>
      <c r="E32" s="7">
        <v>5.5</v>
      </c>
      <c r="F32" s="6" t="s">
        <v>285</v>
      </c>
      <c r="G32" s="16" t="s">
        <v>202</v>
      </c>
      <c r="H32" s="6" t="s">
        <v>90</v>
      </c>
      <c r="I32" s="7">
        <v>1</v>
      </c>
      <c r="J32" s="6" t="s">
        <v>203</v>
      </c>
      <c r="K32" s="7">
        <v>5</v>
      </c>
      <c r="L32" s="7">
        <v>250</v>
      </c>
      <c r="M32" s="7">
        <v>31</v>
      </c>
      <c r="N32" s="7">
        <v>0.8</v>
      </c>
      <c r="O32" s="50">
        <f t="shared" si="0"/>
        <v>24.8</v>
      </c>
      <c r="P32" s="17">
        <v>45292</v>
      </c>
      <c r="Q32" s="6" t="s">
        <v>145</v>
      </c>
      <c r="R32" s="7">
        <v>109</v>
      </c>
      <c r="S32" s="16" t="s">
        <v>204</v>
      </c>
      <c r="T32" s="6" t="s">
        <v>205</v>
      </c>
      <c r="U32" s="6" t="s">
        <v>206</v>
      </c>
      <c r="V32" s="6" t="s">
        <v>207</v>
      </c>
      <c r="W32" s="6" t="s">
        <v>208</v>
      </c>
      <c r="X32" s="6" t="s">
        <v>286</v>
      </c>
      <c r="Y32" s="6" t="s">
        <v>210</v>
      </c>
      <c r="Z32" s="6" t="s">
        <v>287</v>
      </c>
    </row>
    <row r="33" spans="1:26" ht="15" customHeight="1">
      <c r="A33" s="8" t="s">
        <v>288</v>
      </c>
      <c r="B33" s="8" t="s">
        <v>282</v>
      </c>
      <c r="C33" s="8" t="s">
        <v>283</v>
      </c>
      <c r="D33" s="8" t="s">
        <v>284</v>
      </c>
      <c r="E33" s="9">
        <v>5.5</v>
      </c>
      <c r="F33" s="8" t="s">
        <v>285</v>
      </c>
      <c r="G33" s="18" t="s">
        <v>202</v>
      </c>
      <c r="H33" s="8" t="s">
        <v>94</v>
      </c>
      <c r="I33" s="9">
        <v>1.07</v>
      </c>
      <c r="J33" s="8" t="s">
        <v>203</v>
      </c>
      <c r="K33" s="9">
        <v>5</v>
      </c>
      <c r="L33" s="9">
        <v>300</v>
      </c>
      <c r="M33" s="9">
        <v>32</v>
      </c>
      <c r="N33" s="9">
        <v>0.9</v>
      </c>
      <c r="O33" s="50">
        <f t="shared" si="0"/>
        <v>28.8</v>
      </c>
      <c r="P33" s="19">
        <v>45689</v>
      </c>
      <c r="Q33" s="8" t="s">
        <v>145</v>
      </c>
      <c r="R33" s="9">
        <v>110</v>
      </c>
      <c r="S33" s="18" t="s">
        <v>204</v>
      </c>
      <c r="T33" s="8" t="s">
        <v>205</v>
      </c>
      <c r="U33" s="8" t="s">
        <v>206</v>
      </c>
      <c r="V33" s="8" t="s">
        <v>207</v>
      </c>
      <c r="W33" s="8" t="s">
        <v>208</v>
      </c>
      <c r="X33" s="8" t="s">
        <v>289</v>
      </c>
      <c r="Y33" s="8" t="s">
        <v>210</v>
      </c>
      <c r="Z33" s="8" t="s">
        <v>287</v>
      </c>
    </row>
    <row r="34" spans="1:26" ht="15" customHeight="1">
      <c r="A34" s="6" t="s">
        <v>290</v>
      </c>
      <c r="B34" s="6" t="s">
        <v>282</v>
      </c>
      <c r="C34" s="6" t="s">
        <v>283</v>
      </c>
      <c r="D34" s="6" t="s">
        <v>284</v>
      </c>
      <c r="E34" s="7">
        <v>5.7</v>
      </c>
      <c r="F34" s="6" t="s">
        <v>285</v>
      </c>
      <c r="G34" s="16" t="s">
        <v>202</v>
      </c>
      <c r="H34" s="6" t="s">
        <v>112</v>
      </c>
      <c r="I34" s="7">
        <v>0.88</v>
      </c>
      <c r="J34" s="6" t="s">
        <v>203</v>
      </c>
      <c r="K34" s="7">
        <v>5</v>
      </c>
      <c r="L34" s="7">
        <v>350</v>
      </c>
      <c r="M34" s="7">
        <v>33.5</v>
      </c>
      <c r="N34" s="7">
        <v>1</v>
      </c>
      <c r="O34" s="50">
        <f t="shared" si="0"/>
        <v>33.5</v>
      </c>
      <c r="P34" s="17">
        <v>45352</v>
      </c>
      <c r="Q34" s="6" t="s">
        <v>145</v>
      </c>
      <c r="R34" s="7">
        <v>111</v>
      </c>
      <c r="S34" s="16" t="s">
        <v>204</v>
      </c>
      <c r="T34" s="6" t="s">
        <v>205</v>
      </c>
      <c r="U34" s="6" t="s">
        <v>206</v>
      </c>
      <c r="V34" s="6" t="s">
        <v>207</v>
      </c>
      <c r="W34" s="6" t="s">
        <v>208</v>
      </c>
      <c r="X34" s="6" t="s">
        <v>291</v>
      </c>
      <c r="Y34" s="6" t="s">
        <v>210</v>
      </c>
      <c r="Z34" s="6" t="s">
        <v>287</v>
      </c>
    </row>
    <row r="35" spans="1:26" ht="15" customHeight="1">
      <c r="A35" s="8" t="s">
        <v>292</v>
      </c>
      <c r="B35" s="8" t="s">
        <v>282</v>
      </c>
      <c r="C35" s="8" t="s">
        <v>283</v>
      </c>
      <c r="D35" s="8" t="s">
        <v>284</v>
      </c>
      <c r="E35" s="9">
        <v>5.8</v>
      </c>
      <c r="F35" s="8" t="s">
        <v>285</v>
      </c>
      <c r="G35" s="18" t="s">
        <v>202</v>
      </c>
      <c r="H35" s="8" t="s">
        <v>90</v>
      </c>
      <c r="I35" s="9">
        <v>1</v>
      </c>
      <c r="J35" s="8" t="s">
        <v>203</v>
      </c>
      <c r="K35" s="9">
        <v>5</v>
      </c>
      <c r="L35" s="9">
        <v>400</v>
      </c>
      <c r="M35" s="9">
        <v>34.25</v>
      </c>
      <c r="N35" s="9">
        <v>1.1000000000000001</v>
      </c>
      <c r="O35" s="50">
        <f t="shared" si="0"/>
        <v>37.675000000000004</v>
      </c>
      <c r="P35" s="19">
        <v>45748</v>
      </c>
      <c r="Q35" s="8" t="s">
        <v>145</v>
      </c>
      <c r="R35" s="9">
        <v>112</v>
      </c>
      <c r="S35" s="18" t="s">
        <v>204</v>
      </c>
      <c r="T35" s="8" t="s">
        <v>205</v>
      </c>
      <c r="U35" s="8" t="s">
        <v>206</v>
      </c>
      <c r="V35" s="8" t="s">
        <v>207</v>
      </c>
      <c r="W35" s="8" t="s">
        <v>208</v>
      </c>
      <c r="X35" s="8" t="s">
        <v>293</v>
      </c>
      <c r="Y35" s="8" t="s">
        <v>210</v>
      </c>
      <c r="Z35" s="8" t="s">
        <v>287</v>
      </c>
    </row>
    <row r="36" spans="1:26" ht="15" customHeight="1">
      <c r="A36" s="6" t="s">
        <v>294</v>
      </c>
      <c r="B36" s="6" t="s">
        <v>282</v>
      </c>
      <c r="C36" s="6" t="s">
        <v>283</v>
      </c>
      <c r="D36" s="6" t="s">
        <v>284</v>
      </c>
      <c r="E36" s="7">
        <v>6</v>
      </c>
      <c r="F36" s="6" t="s">
        <v>285</v>
      </c>
      <c r="G36" s="16" t="s">
        <v>202</v>
      </c>
      <c r="H36" s="6" t="s">
        <v>94</v>
      </c>
      <c r="I36" s="7">
        <v>1.07</v>
      </c>
      <c r="J36" s="6" t="s">
        <v>203</v>
      </c>
      <c r="K36" s="7">
        <v>6</v>
      </c>
      <c r="L36" s="7">
        <v>500</v>
      </c>
      <c r="M36" s="7">
        <v>35</v>
      </c>
      <c r="N36" s="7">
        <v>1</v>
      </c>
      <c r="O36" s="50">
        <f t="shared" si="0"/>
        <v>35</v>
      </c>
      <c r="P36" s="17">
        <v>45413</v>
      </c>
      <c r="Q36" s="6" t="s">
        <v>145</v>
      </c>
      <c r="R36" s="7">
        <v>113</v>
      </c>
      <c r="S36" s="16" t="s">
        <v>204</v>
      </c>
      <c r="T36" s="6" t="s">
        <v>205</v>
      </c>
      <c r="U36" s="6" t="s">
        <v>206</v>
      </c>
      <c r="V36" s="6" t="s">
        <v>207</v>
      </c>
      <c r="W36" s="6" t="s">
        <v>208</v>
      </c>
      <c r="X36" s="6" t="s">
        <v>295</v>
      </c>
      <c r="Y36" s="6" t="s">
        <v>210</v>
      </c>
      <c r="Z36" s="6" t="s">
        <v>287</v>
      </c>
    </row>
    <row r="37" spans="1:26" ht="15" customHeight="1">
      <c r="A37" s="8" t="s">
        <v>296</v>
      </c>
      <c r="B37" s="8" t="s">
        <v>282</v>
      </c>
      <c r="C37" s="8" t="s">
        <v>283</v>
      </c>
      <c r="D37" s="8" t="s">
        <v>284</v>
      </c>
      <c r="E37" s="9">
        <v>6.1</v>
      </c>
      <c r="F37" s="8" t="s">
        <v>285</v>
      </c>
      <c r="G37" s="18" t="s">
        <v>202</v>
      </c>
      <c r="H37" s="8" t="s">
        <v>112</v>
      </c>
      <c r="I37" s="9">
        <v>0.88</v>
      </c>
      <c r="J37" s="8" t="s">
        <v>203</v>
      </c>
      <c r="K37" s="9">
        <v>6</v>
      </c>
      <c r="L37" s="9">
        <v>600</v>
      </c>
      <c r="M37" s="9">
        <v>36</v>
      </c>
      <c r="N37" s="9">
        <v>0.9</v>
      </c>
      <c r="O37" s="50">
        <f t="shared" si="0"/>
        <v>32.4</v>
      </c>
      <c r="P37" s="19">
        <v>45809</v>
      </c>
      <c r="Q37" s="8" t="s">
        <v>145</v>
      </c>
      <c r="R37" s="9">
        <v>114</v>
      </c>
      <c r="S37" s="18" t="s">
        <v>204</v>
      </c>
      <c r="T37" s="8" t="s">
        <v>205</v>
      </c>
      <c r="U37" s="8" t="s">
        <v>206</v>
      </c>
      <c r="V37" s="8" t="s">
        <v>207</v>
      </c>
      <c r="W37" s="8" t="s">
        <v>208</v>
      </c>
      <c r="X37" s="8" t="s">
        <v>297</v>
      </c>
      <c r="Y37" s="8" t="s">
        <v>210</v>
      </c>
      <c r="Z37" s="8" t="s">
        <v>287</v>
      </c>
    </row>
    <row r="38" spans="1:26" ht="15" customHeight="1">
      <c r="A38" s="6" t="s">
        <v>298</v>
      </c>
      <c r="B38" s="6" t="s">
        <v>282</v>
      </c>
      <c r="C38" s="6" t="s">
        <v>283</v>
      </c>
      <c r="D38" s="6" t="s">
        <v>284</v>
      </c>
      <c r="E38" s="7">
        <v>6.2</v>
      </c>
      <c r="F38" s="6" t="s">
        <v>285</v>
      </c>
      <c r="G38" s="16" t="s">
        <v>202</v>
      </c>
      <c r="H38" s="6" t="s">
        <v>90</v>
      </c>
      <c r="I38" s="7">
        <v>1</v>
      </c>
      <c r="J38" s="6" t="s">
        <v>203</v>
      </c>
      <c r="K38" s="7">
        <v>6</v>
      </c>
      <c r="L38" s="7">
        <v>750</v>
      </c>
      <c r="M38" s="7">
        <v>37.5</v>
      </c>
      <c r="N38" s="7">
        <v>1.2</v>
      </c>
      <c r="O38" s="50">
        <f t="shared" si="0"/>
        <v>45</v>
      </c>
      <c r="P38" s="17">
        <v>45474</v>
      </c>
      <c r="Q38" s="6" t="s">
        <v>145</v>
      </c>
      <c r="R38" s="7">
        <v>115</v>
      </c>
      <c r="S38" s="16" t="s">
        <v>204</v>
      </c>
      <c r="T38" s="6" t="s">
        <v>205</v>
      </c>
      <c r="U38" s="6" t="s">
        <v>206</v>
      </c>
      <c r="V38" s="6" t="s">
        <v>207</v>
      </c>
      <c r="W38" s="6" t="s">
        <v>208</v>
      </c>
      <c r="X38" s="6" t="s">
        <v>299</v>
      </c>
      <c r="Y38" s="6" t="s">
        <v>210</v>
      </c>
      <c r="Z38" s="6" t="s">
        <v>287</v>
      </c>
    </row>
    <row r="39" spans="1:26" ht="15" customHeight="1">
      <c r="A39" s="8" t="s">
        <v>300</v>
      </c>
      <c r="B39" s="8" t="s">
        <v>198</v>
      </c>
      <c r="C39" s="8" t="s">
        <v>199</v>
      </c>
      <c r="D39" s="8" t="s">
        <v>301</v>
      </c>
      <c r="E39" s="9">
        <v>3.5</v>
      </c>
      <c r="F39" s="8" t="s">
        <v>201</v>
      </c>
      <c r="G39" s="18" t="s">
        <v>202</v>
      </c>
      <c r="H39" s="8" t="s">
        <v>90</v>
      </c>
      <c r="I39" s="9">
        <v>1</v>
      </c>
      <c r="J39" s="8" t="s">
        <v>302</v>
      </c>
      <c r="K39" s="9">
        <v>3</v>
      </c>
      <c r="L39" s="9">
        <v>20</v>
      </c>
      <c r="M39" s="9">
        <v>410</v>
      </c>
      <c r="N39" s="9">
        <v>0.5</v>
      </c>
      <c r="O39" s="50">
        <f t="shared" si="0"/>
        <v>205</v>
      </c>
      <c r="P39" s="19">
        <v>45047</v>
      </c>
      <c r="Q39" s="8" t="s">
        <v>129</v>
      </c>
      <c r="R39" s="9">
        <v>100</v>
      </c>
      <c r="S39" s="18" t="s">
        <v>303</v>
      </c>
      <c r="T39" s="8" t="s">
        <v>205</v>
      </c>
      <c r="U39" s="8" t="s">
        <v>206</v>
      </c>
      <c r="V39" s="8" t="s">
        <v>207</v>
      </c>
      <c r="W39" s="8" t="s">
        <v>208</v>
      </c>
      <c r="X39" s="8" t="s">
        <v>304</v>
      </c>
      <c r="Y39" s="8" t="s">
        <v>305</v>
      </c>
      <c r="Z39" s="8" t="s">
        <v>211</v>
      </c>
    </row>
    <row r="40" spans="1:26">
      <c r="O40" s="50">
        <f t="shared" si="0"/>
        <v>0</v>
      </c>
    </row>
    <row r="41" spans="1:26">
      <c r="O41" s="50">
        <f t="shared" si="0"/>
        <v>0</v>
      </c>
    </row>
    <row r="42" spans="1:26">
      <c r="O42" s="50">
        <f t="shared" si="0"/>
        <v>0</v>
      </c>
    </row>
    <row r="43" spans="1:26">
      <c r="O43" s="50">
        <f t="shared" si="0"/>
        <v>0</v>
      </c>
    </row>
    <row r="44" spans="1:26">
      <c r="O44" s="50">
        <f t="shared" si="0"/>
        <v>0</v>
      </c>
    </row>
    <row r="45" spans="1:26">
      <c r="O45" s="50">
        <f t="shared" si="0"/>
        <v>0</v>
      </c>
    </row>
    <row r="46" spans="1:26">
      <c r="O46" s="50">
        <f t="shared" si="0"/>
        <v>0</v>
      </c>
    </row>
    <row r="47" spans="1:26">
      <c r="O47" s="50">
        <f t="shared" si="0"/>
        <v>0</v>
      </c>
    </row>
    <row r="48" spans="1:26">
      <c r="O48" s="50">
        <f t="shared" si="0"/>
        <v>0</v>
      </c>
    </row>
    <row r="49" spans="15:15">
      <c r="O49" s="50">
        <f t="shared" si="0"/>
        <v>0</v>
      </c>
    </row>
    <row r="50" spans="15:15">
      <c r="O50" s="50">
        <f t="shared" si="0"/>
        <v>0</v>
      </c>
    </row>
    <row r="51" spans="15:15">
      <c r="O51" s="50">
        <f t="shared" si="0"/>
        <v>0</v>
      </c>
    </row>
    <row r="52" spans="15:15">
      <c r="O52" s="50">
        <f t="shared" si="0"/>
        <v>0</v>
      </c>
    </row>
    <row r="53" spans="15:15">
      <c r="O53" s="50">
        <f t="shared" si="0"/>
        <v>0</v>
      </c>
    </row>
    <row r="54" spans="15:15">
      <c r="O54" s="50">
        <f t="shared" si="0"/>
        <v>0</v>
      </c>
    </row>
    <row r="55" spans="15:15">
      <c r="O55" s="50">
        <f t="shared" si="0"/>
        <v>0</v>
      </c>
    </row>
    <row r="56" spans="15:15">
      <c r="O56" s="50">
        <f t="shared" si="0"/>
        <v>0</v>
      </c>
    </row>
    <row r="57" spans="15:15">
      <c r="O57" s="50">
        <f t="shared" si="0"/>
        <v>0</v>
      </c>
    </row>
    <row r="58" spans="15:15">
      <c r="O58" s="50">
        <f t="shared" si="0"/>
        <v>0</v>
      </c>
    </row>
    <row r="59" spans="15:15">
      <c r="O59" s="50">
        <f t="shared" si="0"/>
        <v>0</v>
      </c>
    </row>
    <row r="60" spans="15:15">
      <c r="O60" s="50">
        <f t="shared" si="0"/>
        <v>0</v>
      </c>
    </row>
    <row r="61" spans="15:15">
      <c r="O61" s="50">
        <f t="shared" si="0"/>
        <v>0</v>
      </c>
    </row>
    <row r="62" spans="15:15">
      <c r="O62" s="50">
        <f t="shared" si="0"/>
        <v>0</v>
      </c>
    </row>
    <row r="63" spans="15:15">
      <c r="O63" s="50">
        <f t="shared" si="0"/>
        <v>0</v>
      </c>
    </row>
    <row r="64" spans="15:15">
      <c r="O64" s="50">
        <f t="shared" si="0"/>
        <v>0</v>
      </c>
    </row>
    <row r="65" spans="15:15">
      <c r="O65" s="50">
        <f t="shared" si="0"/>
        <v>0</v>
      </c>
    </row>
    <row r="66" spans="15:15">
      <c r="O66" s="50">
        <f t="shared" si="0"/>
        <v>0</v>
      </c>
    </row>
    <row r="67" spans="15:15">
      <c r="O67" s="50">
        <f t="shared" si="0"/>
        <v>0</v>
      </c>
    </row>
    <row r="68" spans="15:15">
      <c r="O68" s="50">
        <f t="shared" ref="O68:O131" si="1">M68*N68</f>
        <v>0</v>
      </c>
    </row>
    <row r="69" spans="15:15">
      <c r="O69" s="50">
        <f t="shared" si="1"/>
        <v>0</v>
      </c>
    </row>
    <row r="70" spans="15:15">
      <c r="O70" s="50">
        <f t="shared" si="1"/>
        <v>0</v>
      </c>
    </row>
    <row r="71" spans="15:15">
      <c r="O71" s="50">
        <f t="shared" si="1"/>
        <v>0</v>
      </c>
    </row>
    <row r="72" spans="15:15">
      <c r="O72" s="50">
        <f t="shared" si="1"/>
        <v>0</v>
      </c>
    </row>
    <row r="73" spans="15:15">
      <c r="O73" s="50">
        <f t="shared" si="1"/>
        <v>0</v>
      </c>
    </row>
    <row r="74" spans="15:15">
      <c r="O74" s="50">
        <f t="shared" si="1"/>
        <v>0</v>
      </c>
    </row>
    <row r="75" spans="15:15">
      <c r="O75" s="50">
        <f t="shared" si="1"/>
        <v>0</v>
      </c>
    </row>
    <row r="76" spans="15:15">
      <c r="O76" s="50">
        <f t="shared" si="1"/>
        <v>0</v>
      </c>
    </row>
    <row r="77" spans="15:15">
      <c r="O77" s="50">
        <f t="shared" si="1"/>
        <v>0</v>
      </c>
    </row>
    <row r="78" spans="15:15">
      <c r="O78" s="50">
        <f t="shared" si="1"/>
        <v>0</v>
      </c>
    </row>
    <row r="79" spans="15:15">
      <c r="O79" s="50">
        <f t="shared" si="1"/>
        <v>0</v>
      </c>
    </row>
    <row r="80" spans="15:15">
      <c r="O80" s="50">
        <f t="shared" si="1"/>
        <v>0</v>
      </c>
    </row>
    <row r="81" spans="15:15">
      <c r="O81" s="50">
        <f t="shared" si="1"/>
        <v>0</v>
      </c>
    </row>
    <row r="82" spans="15:15">
      <c r="O82" s="50">
        <f t="shared" si="1"/>
        <v>0</v>
      </c>
    </row>
    <row r="83" spans="15:15">
      <c r="O83" s="50">
        <f t="shared" si="1"/>
        <v>0</v>
      </c>
    </row>
    <row r="84" spans="15:15">
      <c r="O84" s="50">
        <f t="shared" si="1"/>
        <v>0</v>
      </c>
    </row>
    <row r="85" spans="15:15">
      <c r="O85" s="50">
        <f t="shared" si="1"/>
        <v>0</v>
      </c>
    </row>
    <row r="86" spans="15:15">
      <c r="O86" s="50">
        <f t="shared" si="1"/>
        <v>0</v>
      </c>
    </row>
    <row r="87" spans="15:15">
      <c r="O87" s="50">
        <f t="shared" si="1"/>
        <v>0</v>
      </c>
    </row>
    <row r="88" spans="15:15">
      <c r="O88" s="50">
        <f t="shared" si="1"/>
        <v>0</v>
      </c>
    </row>
    <row r="89" spans="15:15">
      <c r="O89" s="50">
        <f t="shared" si="1"/>
        <v>0</v>
      </c>
    </row>
    <row r="90" spans="15:15">
      <c r="O90" s="50">
        <f t="shared" si="1"/>
        <v>0</v>
      </c>
    </row>
    <row r="91" spans="15:15">
      <c r="O91" s="50">
        <f t="shared" si="1"/>
        <v>0</v>
      </c>
    </row>
    <row r="92" spans="15:15">
      <c r="O92" s="50">
        <f t="shared" si="1"/>
        <v>0</v>
      </c>
    </row>
    <row r="93" spans="15:15">
      <c r="O93" s="50">
        <f t="shared" si="1"/>
        <v>0</v>
      </c>
    </row>
    <row r="94" spans="15:15">
      <c r="O94" s="50">
        <f t="shared" si="1"/>
        <v>0</v>
      </c>
    </row>
    <row r="95" spans="15:15">
      <c r="O95" s="50">
        <f t="shared" si="1"/>
        <v>0</v>
      </c>
    </row>
    <row r="96" spans="15:15">
      <c r="O96" s="50">
        <f t="shared" si="1"/>
        <v>0</v>
      </c>
    </row>
    <row r="97" spans="15:15">
      <c r="O97" s="50">
        <f t="shared" si="1"/>
        <v>0</v>
      </c>
    </row>
    <row r="98" spans="15:15">
      <c r="O98" s="50">
        <f t="shared" si="1"/>
        <v>0</v>
      </c>
    </row>
    <row r="99" spans="15:15">
      <c r="O99" s="50">
        <f t="shared" si="1"/>
        <v>0</v>
      </c>
    </row>
    <row r="100" spans="15:15">
      <c r="O100" s="50">
        <f t="shared" si="1"/>
        <v>0</v>
      </c>
    </row>
    <row r="101" spans="15:15">
      <c r="O101" s="50">
        <f t="shared" si="1"/>
        <v>0</v>
      </c>
    </row>
    <row r="102" spans="15:15">
      <c r="O102" s="50">
        <f t="shared" si="1"/>
        <v>0</v>
      </c>
    </row>
    <row r="103" spans="15:15">
      <c r="O103" s="50">
        <f t="shared" si="1"/>
        <v>0</v>
      </c>
    </row>
    <row r="104" spans="15:15">
      <c r="O104" s="50">
        <f t="shared" si="1"/>
        <v>0</v>
      </c>
    </row>
    <row r="105" spans="15:15">
      <c r="O105" s="50">
        <f t="shared" si="1"/>
        <v>0</v>
      </c>
    </row>
    <row r="106" spans="15:15">
      <c r="O106" s="50">
        <f t="shared" si="1"/>
        <v>0</v>
      </c>
    </row>
    <row r="107" spans="15:15">
      <c r="O107" s="50">
        <f t="shared" si="1"/>
        <v>0</v>
      </c>
    </row>
    <row r="108" spans="15:15">
      <c r="O108" s="50">
        <f t="shared" si="1"/>
        <v>0</v>
      </c>
    </row>
    <row r="109" spans="15:15">
      <c r="O109" s="50">
        <f t="shared" si="1"/>
        <v>0</v>
      </c>
    </row>
    <row r="110" spans="15:15">
      <c r="O110" s="50">
        <f t="shared" si="1"/>
        <v>0</v>
      </c>
    </row>
    <row r="111" spans="15:15">
      <c r="O111" s="50">
        <f t="shared" si="1"/>
        <v>0</v>
      </c>
    </row>
    <row r="112" spans="15:15">
      <c r="O112" s="50">
        <f t="shared" si="1"/>
        <v>0</v>
      </c>
    </row>
    <row r="113" spans="15:15">
      <c r="O113" s="50">
        <f t="shared" si="1"/>
        <v>0</v>
      </c>
    </row>
    <row r="114" spans="15:15">
      <c r="O114" s="50">
        <f t="shared" si="1"/>
        <v>0</v>
      </c>
    </row>
    <row r="115" spans="15:15">
      <c r="O115" s="50">
        <f t="shared" si="1"/>
        <v>0</v>
      </c>
    </row>
    <row r="116" spans="15:15">
      <c r="O116" s="50">
        <f t="shared" si="1"/>
        <v>0</v>
      </c>
    </row>
    <row r="117" spans="15:15">
      <c r="O117" s="50">
        <f t="shared" si="1"/>
        <v>0</v>
      </c>
    </row>
    <row r="118" spans="15:15">
      <c r="O118" s="50">
        <f t="shared" si="1"/>
        <v>0</v>
      </c>
    </row>
    <row r="119" spans="15:15">
      <c r="O119" s="50">
        <f t="shared" si="1"/>
        <v>0</v>
      </c>
    </row>
    <row r="120" spans="15:15">
      <c r="O120" s="50">
        <f t="shared" si="1"/>
        <v>0</v>
      </c>
    </row>
    <row r="121" spans="15:15">
      <c r="O121" s="50">
        <f t="shared" si="1"/>
        <v>0</v>
      </c>
    </row>
    <row r="122" spans="15:15">
      <c r="O122" s="50">
        <f t="shared" si="1"/>
        <v>0</v>
      </c>
    </row>
    <row r="123" spans="15:15">
      <c r="O123" s="50">
        <f t="shared" si="1"/>
        <v>0</v>
      </c>
    </row>
    <row r="124" spans="15:15">
      <c r="O124" s="50">
        <f t="shared" si="1"/>
        <v>0</v>
      </c>
    </row>
    <row r="125" spans="15:15">
      <c r="O125" s="50">
        <f t="shared" si="1"/>
        <v>0</v>
      </c>
    </row>
    <row r="126" spans="15:15">
      <c r="O126" s="50">
        <f t="shared" si="1"/>
        <v>0</v>
      </c>
    </row>
    <row r="127" spans="15:15">
      <c r="O127" s="50">
        <f t="shared" si="1"/>
        <v>0</v>
      </c>
    </row>
    <row r="128" spans="15:15">
      <c r="O128" s="50">
        <f t="shared" si="1"/>
        <v>0</v>
      </c>
    </row>
    <row r="129" spans="15:15">
      <c r="O129" s="50">
        <f t="shared" si="1"/>
        <v>0</v>
      </c>
    </row>
    <row r="130" spans="15:15">
      <c r="O130" s="50">
        <f t="shared" si="1"/>
        <v>0</v>
      </c>
    </row>
    <row r="131" spans="15:15">
      <c r="O131" s="50">
        <f t="shared" si="1"/>
        <v>0</v>
      </c>
    </row>
    <row r="132" spans="15:15">
      <c r="O132" s="50">
        <f t="shared" ref="O132:O195" si="2">M132*N132</f>
        <v>0</v>
      </c>
    </row>
    <row r="133" spans="15:15">
      <c r="O133" s="50">
        <f t="shared" si="2"/>
        <v>0</v>
      </c>
    </row>
    <row r="134" spans="15:15">
      <c r="O134" s="50">
        <f t="shared" si="2"/>
        <v>0</v>
      </c>
    </row>
    <row r="135" spans="15:15">
      <c r="O135" s="50">
        <f t="shared" si="2"/>
        <v>0</v>
      </c>
    </row>
    <row r="136" spans="15:15">
      <c r="O136" s="50">
        <f t="shared" si="2"/>
        <v>0</v>
      </c>
    </row>
    <row r="137" spans="15:15">
      <c r="O137" s="50">
        <f t="shared" si="2"/>
        <v>0</v>
      </c>
    </row>
    <row r="138" spans="15:15">
      <c r="O138" s="50">
        <f t="shared" si="2"/>
        <v>0</v>
      </c>
    </row>
    <row r="139" spans="15:15">
      <c r="O139" s="50">
        <f t="shared" si="2"/>
        <v>0</v>
      </c>
    </row>
    <row r="140" spans="15:15">
      <c r="O140" s="50">
        <f t="shared" si="2"/>
        <v>0</v>
      </c>
    </row>
    <row r="141" spans="15:15">
      <c r="O141" s="50">
        <f t="shared" si="2"/>
        <v>0</v>
      </c>
    </row>
    <row r="142" spans="15:15">
      <c r="O142" s="50">
        <f t="shared" si="2"/>
        <v>0</v>
      </c>
    </row>
    <row r="143" spans="15:15">
      <c r="O143" s="50">
        <f t="shared" si="2"/>
        <v>0</v>
      </c>
    </row>
    <row r="144" spans="15:15">
      <c r="O144" s="50">
        <f t="shared" si="2"/>
        <v>0</v>
      </c>
    </row>
    <row r="145" spans="15:15">
      <c r="O145" s="50">
        <f t="shared" si="2"/>
        <v>0</v>
      </c>
    </row>
    <row r="146" spans="15:15">
      <c r="O146" s="50">
        <f t="shared" si="2"/>
        <v>0</v>
      </c>
    </row>
    <row r="147" spans="15:15">
      <c r="O147" s="50">
        <f t="shared" si="2"/>
        <v>0</v>
      </c>
    </row>
    <row r="148" spans="15:15">
      <c r="O148" s="50">
        <f t="shared" si="2"/>
        <v>0</v>
      </c>
    </row>
    <row r="149" spans="15:15">
      <c r="O149" s="50">
        <f t="shared" si="2"/>
        <v>0</v>
      </c>
    </row>
    <row r="150" spans="15:15">
      <c r="O150" s="50">
        <f t="shared" si="2"/>
        <v>0</v>
      </c>
    </row>
    <row r="151" spans="15:15">
      <c r="O151" s="50">
        <f t="shared" si="2"/>
        <v>0</v>
      </c>
    </row>
    <row r="152" spans="15:15">
      <c r="O152" s="50">
        <f t="shared" si="2"/>
        <v>0</v>
      </c>
    </row>
    <row r="153" spans="15:15">
      <c r="O153" s="50">
        <f t="shared" si="2"/>
        <v>0</v>
      </c>
    </row>
    <row r="154" spans="15:15">
      <c r="O154" s="50">
        <f t="shared" si="2"/>
        <v>0</v>
      </c>
    </row>
    <row r="155" spans="15:15">
      <c r="O155" s="50">
        <f t="shared" si="2"/>
        <v>0</v>
      </c>
    </row>
    <row r="156" spans="15:15">
      <c r="O156" s="50">
        <f t="shared" si="2"/>
        <v>0</v>
      </c>
    </row>
    <row r="157" spans="15:15">
      <c r="O157" s="50">
        <f t="shared" si="2"/>
        <v>0</v>
      </c>
    </row>
    <row r="158" spans="15:15">
      <c r="O158" s="50">
        <f t="shared" si="2"/>
        <v>0</v>
      </c>
    </row>
    <row r="159" spans="15:15">
      <c r="O159" s="50">
        <f t="shared" si="2"/>
        <v>0</v>
      </c>
    </row>
    <row r="160" spans="15:15">
      <c r="O160" s="50">
        <f t="shared" si="2"/>
        <v>0</v>
      </c>
    </row>
    <row r="161" spans="15:15">
      <c r="O161" s="50">
        <f t="shared" si="2"/>
        <v>0</v>
      </c>
    </row>
    <row r="162" spans="15:15">
      <c r="O162" s="50">
        <f t="shared" si="2"/>
        <v>0</v>
      </c>
    </row>
    <row r="163" spans="15:15">
      <c r="O163" s="50">
        <f t="shared" si="2"/>
        <v>0</v>
      </c>
    </row>
    <row r="164" spans="15:15">
      <c r="O164" s="50">
        <f t="shared" si="2"/>
        <v>0</v>
      </c>
    </row>
    <row r="165" spans="15:15">
      <c r="O165" s="50">
        <f t="shared" si="2"/>
        <v>0</v>
      </c>
    </row>
    <row r="166" spans="15:15">
      <c r="O166" s="50">
        <f t="shared" si="2"/>
        <v>0</v>
      </c>
    </row>
    <row r="167" spans="15:15">
      <c r="O167" s="50">
        <f t="shared" si="2"/>
        <v>0</v>
      </c>
    </row>
    <row r="168" spans="15:15">
      <c r="O168" s="50">
        <f t="shared" si="2"/>
        <v>0</v>
      </c>
    </row>
    <row r="169" spans="15:15">
      <c r="O169" s="50">
        <f t="shared" si="2"/>
        <v>0</v>
      </c>
    </row>
    <row r="170" spans="15:15">
      <c r="O170" s="50">
        <f t="shared" si="2"/>
        <v>0</v>
      </c>
    </row>
    <row r="171" spans="15:15">
      <c r="O171" s="50">
        <f t="shared" si="2"/>
        <v>0</v>
      </c>
    </row>
    <row r="172" spans="15:15">
      <c r="O172" s="50">
        <f t="shared" si="2"/>
        <v>0</v>
      </c>
    </row>
    <row r="173" spans="15:15">
      <c r="O173" s="50">
        <f t="shared" si="2"/>
        <v>0</v>
      </c>
    </row>
    <row r="174" spans="15:15">
      <c r="O174" s="50">
        <f t="shared" si="2"/>
        <v>0</v>
      </c>
    </row>
    <row r="175" spans="15:15">
      <c r="O175" s="50">
        <f t="shared" si="2"/>
        <v>0</v>
      </c>
    </row>
    <row r="176" spans="15:15">
      <c r="O176" s="50">
        <f t="shared" si="2"/>
        <v>0</v>
      </c>
    </row>
    <row r="177" spans="15:15">
      <c r="O177" s="50">
        <f t="shared" si="2"/>
        <v>0</v>
      </c>
    </row>
    <row r="178" spans="15:15">
      <c r="O178" s="50">
        <f t="shared" si="2"/>
        <v>0</v>
      </c>
    </row>
    <row r="179" spans="15:15">
      <c r="O179" s="50">
        <f t="shared" si="2"/>
        <v>0</v>
      </c>
    </row>
    <row r="180" spans="15:15">
      <c r="O180" s="50">
        <f t="shared" si="2"/>
        <v>0</v>
      </c>
    </row>
    <row r="181" spans="15:15">
      <c r="O181" s="50">
        <f t="shared" si="2"/>
        <v>0</v>
      </c>
    </row>
    <row r="182" spans="15:15">
      <c r="O182" s="50">
        <f t="shared" si="2"/>
        <v>0</v>
      </c>
    </row>
    <row r="183" spans="15:15">
      <c r="O183" s="50">
        <f t="shared" si="2"/>
        <v>0</v>
      </c>
    </row>
    <row r="184" spans="15:15">
      <c r="O184" s="50">
        <f t="shared" si="2"/>
        <v>0</v>
      </c>
    </row>
    <row r="185" spans="15:15">
      <c r="O185" s="50">
        <f t="shared" si="2"/>
        <v>0</v>
      </c>
    </row>
    <row r="186" spans="15:15">
      <c r="O186" s="50">
        <f t="shared" si="2"/>
        <v>0</v>
      </c>
    </row>
    <row r="187" spans="15:15">
      <c r="O187" s="50">
        <f t="shared" si="2"/>
        <v>0</v>
      </c>
    </row>
    <row r="188" spans="15:15">
      <c r="O188" s="50">
        <f t="shared" si="2"/>
        <v>0</v>
      </c>
    </row>
    <row r="189" spans="15:15">
      <c r="O189" s="50">
        <f t="shared" si="2"/>
        <v>0</v>
      </c>
    </row>
    <row r="190" spans="15:15">
      <c r="O190" s="50">
        <f t="shared" si="2"/>
        <v>0</v>
      </c>
    </row>
    <row r="191" spans="15:15">
      <c r="O191" s="50">
        <f t="shared" si="2"/>
        <v>0</v>
      </c>
    </row>
    <row r="192" spans="15:15">
      <c r="O192" s="50">
        <f t="shared" si="2"/>
        <v>0</v>
      </c>
    </row>
    <row r="193" spans="15:15">
      <c r="O193" s="50">
        <f t="shared" si="2"/>
        <v>0</v>
      </c>
    </row>
    <row r="194" spans="15:15">
      <c r="O194" s="50">
        <f t="shared" si="2"/>
        <v>0</v>
      </c>
    </row>
    <row r="195" spans="15:15">
      <c r="O195" s="50">
        <f t="shared" si="2"/>
        <v>0</v>
      </c>
    </row>
    <row r="196" spans="15:15">
      <c r="O196" s="50">
        <f t="shared" ref="O196:O259" si="3">M196*N196</f>
        <v>0</v>
      </c>
    </row>
    <row r="197" spans="15:15">
      <c r="O197" s="50">
        <f t="shared" si="3"/>
        <v>0</v>
      </c>
    </row>
    <row r="198" spans="15:15">
      <c r="O198" s="50">
        <f t="shared" si="3"/>
        <v>0</v>
      </c>
    </row>
    <row r="199" spans="15:15">
      <c r="O199" s="50">
        <f t="shared" si="3"/>
        <v>0</v>
      </c>
    </row>
    <row r="200" spans="15:15">
      <c r="O200" s="50">
        <f t="shared" si="3"/>
        <v>0</v>
      </c>
    </row>
    <row r="201" spans="15:15">
      <c r="O201" s="50">
        <f t="shared" si="3"/>
        <v>0</v>
      </c>
    </row>
    <row r="202" spans="15:15">
      <c r="O202" s="50">
        <f t="shared" si="3"/>
        <v>0</v>
      </c>
    </row>
    <row r="203" spans="15:15">
      <c r="O203" s="50">
        <f t="shared" si="3"/>
        <v>0</v>
      </c>
    </row>
    <row r="204" spans="15:15">
      <c r="O204" s="50">
        <f t="shared" si="3"/>
        <v>0</v>
      </c>
    </row>
    <row r="205" spans="15:15">
      <c r="O205" s="50">
        <f t="shared" si="3"/>
        <v>0</v>
      </c>
    </row>
    <row r="206" spans="15:15">
      <c r="O206" s="50">
        <f t="shared" si="3"/>
        <v>0</v>
      </c>
    </row>
    <row r="207" spans="15:15">
      <c r="O207" s="50">
        <f t="shared" si="3"/>
        <v>0</v>
      </c>
    </row>
    <row r="208" spans="15:15">
      <c r="O208" s="50">
        <f t="shared" si="3"/>
        <v>0</v>
      </c>
    </row>
    <row r="209" spans="15:15">
      <c r="O209" s="50">
        <f t="shared" si="3"/>
        <v>0</v>
      </c>
    </row>
    <row r="210" spans="15:15">
      <c r="O210" s="50">
        <f t="shared" si="3"/>
        <v>0</v>
      </c>
    </row>
    <row r="211" spans="15:15">
      <c r="O211" s="50">
        <f t="shared" si="3"/>
        <v>0</v>
      </c>
    </row>
    <row r="212" spans="15:15">
      <c r="O212" s="50">
        <f t="shared" si="3"/>
        <v>0</v>
      </c>
    </row>
    <row r="213" spans="15:15">
      <c r="O213" s="50">
        <f t="shared" si="3"/>
        <v>0</v>
      </c>
    </row>
    <row r="214" spans="15:15">
      <c r="O214" s="50">
        <f t="shared" si="3"/>
        <v>0</v>
      </c>
    </row>
    <row r="215" spans="15:15">
      <c r="O215" s="50">
        <f t="shared" si="3"/>
        <v>0</v>
      </c>
    </row>
    <row r="216" spans="15:15">
      <c r="O216" s="50">
        <f t="shared" si="3"/>
        <v>0</v>
      </c>
    </row>
    <row r="217" spans="15:15">
      <c r="O217" s="50">
        <f t="shared" si="3"/>
        <v>0</v>
      </c>
    </row>
    <row r="218" spans="15:15">
      <c r="O218" s="50">
        <f t="shared" si="3"/>
        <v>0</v>
      </c>
    </row>
    <row r="219" spans="15:15">
      <c r="O219" s="50">
        <f t="shared" si="3"/>
        <v>0</v>
      </c>
    </row>
    <row r="220" spans="15:15">
      <c r="O220" s="50">
        <f t="shared" si="3"/>
        <v>0</v>
      </c>
    </row>
    <row r="221" spans="15:15">
      <c r="O221" s="50">
        <f t="shared" si="3"/>
        <v>0</v>
      </c>
    </row>
    <row r="222" spans="15:15">
      <c r="O222" s="50">
        <f t="shared" si="3"/>
        <v>0</v>
      </c>
    </row>
    <row r="223" spans="15:15">
      <c r="O223" s="50">
        <f t="shared" si="3"/>
        <v>0</v>
      </c>
    </row>
    <row r="224" spans="15:15">
      <c r="O224" s="50">
        <f t="shared" si="3"/>
        <v>0</v>
      </c>
    </row>
    <row r="225" spans="15:15">
      <c r="O225" s="50">
        <f t="shared" si="3"/>
        <v>0</v>
      </c>
    </row>
    <row r="226" spans="15:15">
      <c r="O226" s="50">
        <f t="shared" si="3"/>
        <v>0</v>
      </c>
    </row>
    <row r="227" spans="15:15">
      <c r="O227" s="50">
        <f t="shared" si="3"/>
        <v>0</v>
      </c>
    </row>
    <row r="228" spans="15:15">
      <c r="O228" s="50">
        <f t="shared" si="3"/>
        <v>0</v>
      </c>
    </row>
    <row r="229" spans="15:15">
      <c r="O229" s="50">
        <f t="shared" si="3"/>
        <v>0</v>
      </c>
    </row>
    <row r="230" spans="15:15">
      <c r="O230" s="50">
        <f t="shared" si="3"/>
        <v>0</v>
      </c>
    </row>
    <row r="231" spans="15:15">
      <c r="O231" s="50">
        <f t="shared" si="3"/>
        <v>0</v>
      </c>
    </row>
    <row r="232" spans="15:15">
      <c r="O232" s="50">
        <f t="shared" si="3"/>
        <v>0</v>
      </c>
    </row>
    <row r="233" spans="15:15">
      <c r="O233" s="50">
        <f t="shared" si="3"/>
        <v>0</v>
      </c>
    </row>
    <row r="234" spans="15:15">
      <c r="O234" s="50">
        <f t="shared" si="3"/>
        <v>0</v>
      </c>
    </row>
    <row r="235" spans="15:15">
      <c r="O235" s="50">
        <f t="shared" si="3"/>
        <v>0</v>
      </c>
    </row>
    <row r="236" spans="15:15">
      <c r="O236" s="50">
        <f t="shared" si="3"/>
        <v>0</v>
      </c>
    </row>
    <row r="237" spans="15:15">
      <c r="O237" s="50">
        <f t="shared" si="3"/>
        <v>0</v>
      </c>
    </row>
    <row r="238" spans="15:15">
      <c r="O238" s="50">
        <f t="shared" si="3"/>
        <v>0</v>
      </c>
    </row>
    <row r="239" spans="15:15">
      <c r="O239" s="50">
        <f t="shared" si="3"/>
        <v>0</v>
      </c>
    </row>
    <row r="240" spans="15:15">
      <c r="O240" s="50">
        <f t="shared" si="3"/>
        <v>0</v>
      </c>
    </row>
    <row r="241" spans="15:15">
      <c r="O241" s="50">
        <f t="shared" si="3"/>
        <v>0</v>
      </c>
    </row>
    <row r="242" spans="15:15">
      <c r="O242" s="50">
        <f t="shared" si="3"/>
        <v>0</v>
      </c>
    </row>
    <row r="243" spans="15:15">
      <c r="O243" s="50">
        <f t="shared" si="3"/>
        <v>0</v>
      </c>
    </row>
    <row r="244" spans="15:15">
      <c r="O244" s="50">
        <f t="shared" si="3"/>
        <v>0</v>
      </c>
    </row>
    <row r="245" spans="15:15">
      <c r="O245" s="50">
        <f t="shared" si="3"/>
        <v>0</v>
      </c>
    </row>
    <row r="246" spans="15:15">
      <c r="O246" s="50">
        <f t="shared" si="3"/>
        <v>0</v>
      </c>
    </row>
    <row r="247" spans="15:15">
      <c r="O247" s="50">
        <f t="shared" si="3"/>
        <v>0</v>
      </c>
    </row>
    <row r="248" spans="15:15">
      <c r="O248" s="50">
        <f t="shared" si="3"/>
        <v>0</v>
      </c>
    </row>
    <row r="249" spans="15:15">
      <c r="O249" s="50">
        <f t="shared" si="3"/>
        <v>0</v>
      </c>
    </row>
    <row r="250" spans="15:15">
      <c r="O250" s="50">
        <f t="shared" si="3"/>
        <v>0</v>
      </c>
    </row>
    <row r="251" spans="15:15">
      <c r="O251" s="50">
        <f t="shared" si="3"/>
        <v>0</v>
      </c>
    </row>
    <row r="252" spans="15:15">
      <c r="O252" s="50">
        <f t="shared" si="3"/>
        <v>0</v>
      </c>
    </row>
    <row r="253" spans="15:15">
      <c r="O253" s="50">
        <f t="shared" si="3"/>
        <v>0</v>
      </c>
    </row>
    <row r="254" spans="15:15">
      <c r="O254" s="50">
        <f t="shared" si="3"/>
        <v>0</v>
      </c>
    </row>
    <row r="255" spans="15:15">
      <c r="O255" s="50">
        <f t="shared" si="3"/>
        <v>0</v>
      </c>
    </row>
    <row r="256" spans="15:15">
      <c r="O256" s="50">
        <f t="shared" si="3"/>
        <v>0</v>
      </c>
    </row>
    <row r="257" spans="15:15">
      <c r="O257" s="50">
        <f t="shared" si="3"/>
        <v>0</v>
      </c>
    </row>
    <row r="258" spans="15:15">
      <c r="O258" s="50">
        <f t="shared" si="3"/>
        <v>0</v>
      </c>
    </row>
    <row r="259" spans="15:15">
      <c r="O259" s="50">
        <f t="shared" si="3"/>
        <v>0</v>
      </c>
    </row>
    <row r="260" spans="15:15">
      <c r="O260" s="50">
        <f t="shared" ref="O260:O323" si="4">M260*N260</f>
        <v>0</v>
      </c>
    </row>
    <row r="261" spans="15:15">
      <c r="O261" s="50">
        <f t="shared" si="4"/>
        <v>0</v>
      </c>
    </row>
    <row r="262" spans="15:15">
      <c r="O262" s="50">
        <f t="shared" si="4"/>
        <v>0</v>
      </c>
    </row>
    <row r="263" spans="15:15">
      <c r="O263" s="50">
        <f t="shared" si="4"/>
        <v>0</v>
      </c>
    </row>
    <row r="264" spans="15:15">
      <c r="O264" s="50">
        <f t="shared" si="4"/>
        <v>0</v>
      </c>
    </row>
    <row r="265" spans="15:15">
      <c r="O265" s="50">
        <f t="shared" si="4"/>
        <v>0</v>
      </c>
    </row>
    <row r="266" spans="15:15">
      <c r="O266" s="50">
        <f t="shared" si="4"/>
        <v>0</v>
      </c>
    </row>
    <row r="267" spans="15:15">
      <c r="O267" s="50">
        <f t="shared" si="4"/>
        <v>0</v>
      </c>
    </row>
    <row r="268" spans="15:15">
      <c r="O268" s="50">
        <f t="shared" si="4"/>
        <v>0</v>
      </c>
    </row>
    <row r="269" spans="15:15">
      <c r="O269" s="50">
        <f t="shared" si="4"/>
        <v>0</v>
      </c>
    </row>
    <row r="270" spans="15:15">
      <c r="O270" s="50">
        <f t="shared" si="4"/>
        <v>0</v>
      </c>
    </row>
    <row r="271" spans="15:15">
      <c r="O271" s="50">
        <f t="shared" si="4"/>
        <v>0</v>
      </c>
    </row>
    <row r="272" spans="15:15">
      <c r="O272" s="50">
        <f t="shared" si="4"/>
        <v>0</v>
      </c>
    </row>
    <row r="273" spans="15:15">
      <c r="O273" s="50">
        <f t="shared" si="4"/>
        <v>0</v>
      </c>
    </row>
    <row r="274" spans="15:15">
      <c r="O274" s="50">
        <f t="shared" si="4"/>
        <v>0</v>
      </c>
    </row>
    <row r="275" spans="15:15">
      <c r="O275" s="50">
        <f t="shared" si="4"/>
        <v>0</v>
      </c>
    </row>
    <row r="276" spans="15:15">
      <c r="O276" s="50">
        <f t="shared" si="4"/>
        <v>0</v>
      </c>
    </row>
    <row r="277" spans="15:15">
      <c r="O277" s="50">
        <f t="shared" si="4"/>
        <v>0</v>
      </c>
    </row>
    <row r="278" spans="15:15">
      <c r="O278" s="50">
        <f t="shared" si="4"/>
        <v>0</v>
      </c>
    </row>
    <row r="279" spans="15:15">
      <c r="O279" s="50">
        <f t="shared" si="4"/>
        <v>0</v>
      </c>
    </row>
    <row r="280" spans="15:15">
      <c r="O280" s="50">
        <f t="shared" si="4"/>
        <v>0</v>
      </c>
    </row>
    <row r="281" spans="15:15">
      <c r="O281" s="50">
        <f t="shared" si="4"/>
        <v>0</v>
      </c>
    </row>
    <row r="282" spans="15:15">
      <c r="O282" s="50">
        <f t="shared" si="4"/>
        <v>0</v>
      </c>
    </row>
    <row r="283" spans="15:15">
      <c r="O283" s="50">
        <f t="shared" si="4"/>
        <v>0</v>
      </c>
    </row>
    <row r="284" spans="15:15">
      <c r="O284" s="50">
        <f t="shared" si="4"/>
        <v>0</v>
      </c>
    </row>
    <row r="285" spans="15:15">
      <c r="O285" s="50">
        <f t="shared" si="4"/>
        <v>0</v>
      </c>
    </row>
    <row r="286" spans="15:15">
      <c r="O286" s="50">
        <f t="shared" si="4"/>
        <v>0</v>
      </c>
    </row>
    <row r="287" spans="15:15">
      <c r="O287" s="50">
        <f t="shared" si="4"/>
        <v>0</v>
      </c>
    </row>
    <row r="288" spans="15:15">
      <c r="O288" s="50">
        <f t="shared" si="4"/>
        <v>0</v>
      </c>
    </row>
    <row r="289" spans="15:15">
      <c r="O289" s="50">
        <f t="shared" si="4"/>
        <v>0</v>
      </c>
    </row>
    <row r="290" spans="15:15">
      <c r="O290" s="50">
        <f t="shared" si="4"/>
        <v>0</v>
      </c>
    </row>
    <row r="291" spans="15:15">
      <c r="O291" s="50">
        <f t="shared" si="4"/>
        <v>0</v>
      </c>
    </row>
    <row r="292" spans="15:15">
      <c r="O292" s="50">
        <f t="shared" si="4"/>
        <v>0</v>
      </c>
    </row>
    <row r="293" spans="15:15">
      <c r="O293" s="50">
        <f t="shared" si="4"/>
        <v>0</v>
      </c>
    </row>
    <row r="294" spans="15:15">
      <c r="O294" s="50">
        <f t="shared" si="4"/>
        <v>0</v>
      </c>
    </row>
    <row r="295" spans="15:15">
      <c r="O295" s="50">
        <f t="shared" si="4"/>
        <v>0</v>
      </c>
    </row>
    <row r="296" spans="15:15">
      <c r="O296" s="50">
        <f t="shared" si="4"/>
        <v>0</v>
      </c>
    </row>
    <row r="297" spans="15:15">
      <c r="O297" s="50">
        <f t="shared" si="4"/>
        <v>0</v>
      </c>
    </row>
    <row r="298" spans="15:15">
      <c r="O298" s="50">
        <f t="shared" si="4"/>
        <v>0</v>
      </c>
    </row>
    <row r="299" spans="15:15">
      <c r="O299" s="50">
        <f t="shared" si="4"/>
        <v>0</v>
      </c>
    </row>
    <row r="300" spans="15:15">
      <c r="O300" s="50">
        <f t="shared" si="4"/>
        <v>0</v>
      </c>
    </row>
    <row r="301" spans="15:15">
      <c r="O301" s="50">
        <f t="shared" si="4"/>
        <v>0</v>
      </c>
    </row>
    <row r="302" spans="15:15">
      <c r="O302" s="50">
        <f t="shared" si="4"/>
        <v>0</v>
      </c>
    </row>
    <row r="303" spans="15:15">
      <c r="O303" s="50">
        <f t="shared" si="4"/>
        <v>0</v>
      </c>
    </row>
    <row r="304" spans="15:15">
      <c r="O304" s="50">
        <f t="shared" si="4"/>
        <v>0</v>
      </c>
    </row>
    <row r="305" spans="15:15">
      <c r="O305" s="50">
        <f t="shared" si="4"/>
        <v>0</v>
      </c>
    </row>
    <row r="306" spans="15:15">
      <c r="O306" s="50">
        <f t="shared" si="4"/>
        <v>0</v>
      </c>
    </row>
    <row r="307" spans="15:15">
      <c r="O307" s="50">
        <f t="shared" si="4"/>
        <v>0</v>
      </c>
    </row>
    <row r="308" spans="15:15">
      <c r="O308" s="50">
        <f t="shared" si="4"/>
        <v>0</v>
      </c>
    </row>
    <row r="309" spans="15:15">
      <c r="O309" s="50">
        <f t="shared" si="4"/>
        <v>0</v>
      </c>
    </row>
    <row r="310" spans="15:15">
      <c r="O310" s="50">
        <f t="shared" si="4"/>
        <v>0</v>
      </c>
    </row>
    <row r="311" spans="15:15">
      <c r="O311" s="50">
        <f t="shared" si="4"/>
        <v>0</v>
      </c>
    </row>
    <row r="312" spans="15:15">
      <c r="O312" s="50">
        <f t="shared" si="4"/>
        <v>0</v>
      </c>
    </row>
    <row r="313" spans="15:15">
      <c r="O313" s="50">
        <f t="shared" si="4"/>
        <v>0</v>
      </c>
    </row>
    <row r="314" spans="15:15">
      <c r="O314" s="50">
        <f t="shared" si="4"/>
        <v>0</v>
      </c>
    </row>
    <row r="315" spans="15:15">
      <c r="O315" s="50">
        <f t="shared" si="4"/>
        <v>0</v>
      </c>
    </row>
    <row r="316" spans="15:15">
      <c r="O316" s="50">
        <f t="shared" si="4"/>
        <v>0</v>
      </c>
    </row>
    <row r="317" spans="15:15">
      <c r="O317" s="50">
        <f t="shared" si="4"/>
        <v>0</v>
      </c>
    </row>
    <row r="318" spans="15:15">
      <c r="O318" s="50">
        <f t="shared" si="4"/>
        <v>0</v>
      </c>
    </row>
    <row r="319" spans="15:15">
      <c r="O319" s="50">
        <f t="shared" si="4"/>
        <v>0</v>
      </c>
    </row>
    <row r="320" spans="15:15">
      <c r="O320" s="50">
        <f t="shared" si="4"/>
        <v>0</v>
      </c>
    </row>
    <row r="321" spans="15:15">
      <c r="O321" s="50">
        <f t="shared" si="4"/>
        <v>0</v>
      </c>
    </row>
    <row r="322" spans="15:15">
      <c r="O322" s="50">
        <f t="shared" si="4"/>
        <v>0</v>
      </c>
    </row>
    <row r="323" spans="15:15">
      <c r="O323" s="50">
        <f t="shared" si="4"/>
        <v>0</v>
      </c>
    </row>
    <row r="324" spans="15:15">
      <c r="O324" s="50">
        <f t="shared" ref="O324:O387" si="5">M324*N324</f>
        <v>0</v>
      </c>
    </row>
    <row r="325" spans="15:15">
      <c r="O325" s="50">
        <f t="shared" si="5"/>
        <v>0</v>
      </c>
    </row>
    <row r="326" spans="15:15">
      <c r="O326" s="50">
        <f t="shared" si="5"/>
        <v>0</v>
      </c>
    </row>
    <row r="327" spans="15:15">
      <c r="O327" s="50">
        <f t="shared" si="5"/>
        <v>0</v>
      </c>
    </row>
    <row r="328" spans="15:15">
      <c r="O328" s="50">
        <f t="shared" si="5"/>
        <v>0</v>
      </c>
    </row>
    <row r="329" spans="15:15">
      <c r="O329" s="50">
        <f t="shared" si="5"/>
        <v>0</v>
      </c>
    </row>
    <row r="330" spans="15:15">
      <c r="O330" s="50">
        <f t="shared" si="5"/>
        <v>0</v>
      </c>
    </row>
    <row r="331" spans="15:15">
      <c r="O331" s="50">
        <f t="shared" si="5"/>
        <v>0</v>
      </c>
    </row>
    <row r="332" spans="15:15">
      <c r="O332" s="50">
        <f t="shared" si="5"/>
        <v>0</v>
      </c>
    </row>
    <row r="333" spans="15:15">
      <c r="O333" s="50">
        <f t="shared" si="5"/>
        <v>0</v>
      </c>
    </row>
    <row r="334" spans="15:15">
      <c r="O334" s="50">
        <f t="shared" si="5"/>
        <v>0</v>
      </c>
    </row>
    <row r="335" spans="15:15">
      <c r="O335" s="50">
        <f t="shared" si="5"/>
        <v>0</v>
      </c>
    </row>
    <row r="336" spans="15:15">
      <c r="O336" s="50">
        <f t="shared" si="5"/>
        <v>0</v>
      </c>
    </row>
    <row r="337" spans="15:15">
      <c r="O337" s="50">
        <f t="shared" si="5"/>
        <v>0</v>
      </c>
    </row>
    <row r="338" spans="15:15">
      <c r="O338" s="50">
        <f t="shared" si="5"/>
        <v>0</v>
      </c>
    </row>
    <row r="339" spans="15:15">
      <c r="O339" s="50">
        <f t="shared" si="5"/>
        <v>0</v>
      </c>
    </row>
    <row r="340" spans="15:15">
      <c r="O340" s="50">
        <f t="shared" si="5"/>
        <v>0</v>
      </c>
    </row>
    <row r="341" spans="15:15">
      <c r="O341" s="50">
        <f t="shared" si="5"/>
        <v>0</v>
      </c>
    </row>
    <row r="342" spans="15:15">
      <c r="O342" s="50">
        <f t="shared" si="5"/>
        <v>0</v>
      </c>
    </row>
    <row r="343" spans="15:15">
      <c r="O343" s="50">
        <f t="shared" si="5"/>
        <v>0</v>
      </c>
    </row>
    <row r="344" spans="15:15">
      <c r="O344" s="50">
        <f t="shared" si="5"/>
        <v>0</v>
      </c>
    </row>
    <row r="345" spans="15:15">
      <c r="O345" s="50">
        <f t="shared" si="5"/>
        <v>0</v>
      </c>
    </row>
    <row r="346" spans="15:15">
      <c r="O346" s="50">
        <f t="shared" si="5"/>
        <v>0</v>
      </c>
    </row>
    <row r="347" spans="15:15">
      <c r="O347" s="50">
        <f t="shared" si="5"/>
        <v>0</v>
      </c>
    </row>
    <row r="348" spans="15:15">
      <c r="O348" s="50">
        <f t="shared" si="5"/>
        <v>0</v>
      </c>
    </row>
    <row r="349" spans="15:15">
      <c r="O349" s="50">
        <f t="shared" si="5"/>
        <v>0</v>
      </c>
    </row>
    <row r="350" spans="15:15">
      <c r="O350" s="50">
        <f t="shared" si="5"/>
        <v>0</v>
      </c>
    </row>
    <row r="351" spans="15:15">
      <c r="O351" s="50">
        <f t="shared" si="5"/>
        <v>0</v>
      </c>
    </row>
    <row r="352" spans="15:15">
      <c r="O352" s="50">
        <f t="shared" si="5"/>
        <v>0</v>
      </c>
    </row>
    <row r="353" spans="15:15">
      <c r="O353" s="50">
        <f t="shared" si="5"/>
        <v>0</v>
      </c>
    </row>
    <row r="354" spans="15:15">
      <c r="O354" s="50">
        <f t="shared" si="5"/>
        <v>0</v>
      </c>
    </row>
    <row r="355" spans="15:15">
      <c r="O355" s="50">
        <f t="shared" si="5"/>
        <v>0</v>
      </c>
    </row>
    <row r="356" spans="15:15">
      <c r="O356" s="50">
        <f t="shared" si="5"/>
        <v>0</v>
      </c>
    </row>
    <row r="357" spans="15:15">
      <c r="O357" s="50">
        <f t="shared" si="5"/>
        <v>0</v>
      </c>
    </row>
    <row r="358" spans="15:15">
      <c r="O358" s="50">
        <f t="shared" si="5"/>
        <v>0</v>
      </c>
    </row>
    <row r="359" spans="15:15">
      <c r="O359" s="50">
        <f t="shared" si="5"/>
        <v>0</v>
      </c>
    </row>
    <row r="360" spans="15:15">
      <c r="O360" s="50">
        <f t="shared" si="5"/>
        <v>0</v>
      </c>
    </row>
    <row r="361" spans="15:15">
      <c r="O361" s="50">
        <f t="shared" si="5"/>
        <v>0</v>
      </c>
    </row>
    <row r="362" spans="15:15">
      <c r="O362" s="50">
        <f t="shared" si="5"/>
        <v>0</v>
      </c>
    </row>
    <row r="363" spans="15:15">
      <c r="O363" s="50">
        <f t="shared" si="5"/>
        <v>0</v>
      </c>
    </row>
    <row r="364" spans="15:15">
      <c r="O364" s="50">
        <f t="shared" si="5"/>
        <v>0</v>
      </c>
    </row>
    <row r="365" spans="15:15">
      <c r="O365" s="50">
        <f t="shared" si="5"/>
        <v>0</v>
      </c>
    </row>
    <row r="366" spans="15:15">
      <c r="O366" s="50">
        <f t="shared" si="5"/>
        <v>0</v>
      </c>
    </row>
    <row r="367" spans="15:15">
      <c r="O367" s="50">
        <f t="shared" si="5"/>
        <v>0</v>
      </c>
    </row>
    <row r="368" spans="15:15">
      <c r="O368" s="50">
        <f t="shared" si="5"/>
        <v>0</v>
      </c>
    </row>
    <row r="369" spans="15:15">
      <c r="O369" s="50">
        <f t="shared" si="5"/>
        <v>0</v>
      </c>
    </row>
    <row r="370" spans="15:15">
      <c r="O370" s="50">
        <f t="shared" si="5"/>
        <v>0</v>
      </c>
    </row>
    <row r="371" spans="15:15">
      <c r="O371" s="50">
        <f t="shared" si="5"/>
        <v>0</v>
      </c>
    </row>
    <row r="372" spans="15:15">
      <c r="O372" s="50">
        <f t="shared" si="5"/>
        <v>0</v>
      </c>
    </row>
    <row r="373" spans="15:15">
      <c r="O373" s="50">
        <f t="shared" si="5"/>
        <v>0</v>
      </c>
    </row>
    <row r="374" spans="15:15">
      <c r="O374" s="50">
        <f t="shared" si="5"/>
        <v>0</v>
      </c>
    </row>
    <row r="375" spans="15:15">
      <c r="O375" s="50">
        <f t="shared" si="5"/>
        <v>0</v>
      </c>
    </row>
    <row r="376" spans="15:15">
      <c r="O376" s="50">
        <f t="shared" si="5"/>
        <v>0</v>
      </c>
    </row>
    <row r="377" spans="15:15">
      <c r="O377" s="50">
        <f t="shared" si="5"/>
        <v>0</v>
      </c>
    </row>
    <row r="378" spans="15:15">
      <c r="O378" s="50">
        <f t="shared" si="5"/>
        <v>0</v>
      </c>
    </row>
    <row r="379" spans="15:15">
      <c r="O379" s="50">
        <f t="shared" si="5"/>
        <v>0</v>
      </c>
    </row>
    <row r="380" spans="15:15">
      <c r="O380" s="50">
        <f t="shared" si="5"/>
        <v>0</v>
      </c>
    </row>
    <row r="381" spans="15:15">
      <c r="O381" s="50">
        <f t="shared" si="5"/>
        <v>0</v>
      </c>
    </row>
    <row r="382" spans="15:15">
      <c r="O382" s="50">
        <f t="shared" si="5"/>
        <v>0</v>
      </c>
    </row>
    <row r="383" spans="15:15">
      <c r="O383" s="50">
        <f t="shared" si="5"/>
        <v>0</v>
      </c>
    </row>
    <row r="384" spans="15:15">
      <c r="O384" s="50">
        <f t="shared" si="5"/>
        <v>0</v>
      </c>
    </row>
    <row r="385" spans="15:15">
      <c r="O385" s="50">
        <f t="shared" si="5"/>
        <v>0</v>
      </c>
    </row>
    <row r="386" spans="15:15">
      <c r="O386" s="50">
        <f t="shared" si="5"/>
        <v>0</v>
      </c>
    </row>
    <row r="387" spans="15:15">
      <c r="O387" s="50">
        <f t="shared" si="5"/>
        <v>0</v>
      </c>
    </row>
    <row r="388" spans="15:15">
      <c r="O388" s="50">
        <f t="shared" ref="O388:O451" si="6">M388*N388</f>
        <v>0</v>
      </c>
    </row>
    <row r="389" spans="15:15">
      <c r="O389" s="50">
        <f t="shared" si="6"/>
        <v>0</v>
      </c>
    </row>
    <row r="390" spans="15:15">
      <c r="O390" s="50">
        <f t="shared" si="6"/>
        <v>0</v>
      </c>
    </row>
    <row r="391" spans="15:15">
      <c r="O391" s="50">
        <f t="shared" si="6"/>
        <v>0</v>
      </c>
    </row>
    <row r="392" spans="15:15">
      <c r="O392" s="50">
        <f t="shared" si="6"/>
        <v>0</v>
      </c>
    </row>
    <row r="393" spans="15:15">
      <c r="O393" s="50">
        <f t="shared" si="6"/>
        <v>0</v>
      </c>
    </row>
    <row r="394" spans="15:15">
      <c r="O394" s="50">
        <f t="shared" si="6"/>
        <v>0</v>
      </c>
    </row>
    <row r="395" spans="15:15">
      <c r="O395" s="50">
        <f t="shared" si="6"/>
        <v>0</v>
      </c>
    </row>
    <row r="396" spans="15:15">
      <c r="O396" s="50">
        <f t="shared" si="6"/>
        <v>0</v>
      </c>
    </row>
    <row r="397" spans="15:15">
      <c r="O397" s="50">
        <f t="shared" si="6"/>
        <v>0</v>
      </c>
    </row>
    <row r="398" spans="15:15">
      <c r="O398" s="50">
        <f t="shared" si="6"/>
        <v>0</v>
      </c>
    </row>
    <row r="399" spans="15:15">
      <c r="O399" s="50">
        <f t="shared" si="6"/>
        <v>0</v>
      </c>
    </row>
    <row r="400" spans="15:15">
      <c r="O400" s="50">
        <f t="shared" si="6"/>
        <v>0</v>
      </c>
    </row>
    <row r="401" spans="15:15">
      <c r="O401" s="50">
        <f t="shared" si="6"/>
        <v>0</v>
      </c>
    </row>
    <row r="402" spans="15:15">
      <c r="O402" s="50">
        <f t="shared" si="6"/>
        <v>0</v>
      </c>
    </row>
    <row r="403" spans="15:15">
      <c r="O403" s="50">
        <f t="shared" si="6"/>
        <v>0</v>
      </c>
    </row>
    <row r="404" spans="15:15">
      <c r="O404" s="50">
        <f t="shared" si="6"/>
        <v>0</v>
      </c>
    </row>
    <row r="405" spans="15:15">
      <c r="O405" s="50">
        <f t="shared" si="6"/>
        <v>0</v>
      </c>
    </row>
    <row r="406" spans="15:15">
      <c r="O406" s="50">
        <f t="shared" si="6"/>
        <v>0</v>
      </c>
    </row>
    <row r="407" spans="15:15">
      <c r="O407" s="50">
        <f t="shared" si="6"/>
        <v>0</v>
      </c>
    </row>
    <row r="408" spans="15:15">
      <c r="O408" s="50">
        <f t="shared" si="6"/>
        <v>0</v>
      </c>
    </row>
    <row r="409" spans="15:15">
      <c r="O409" s="50">
        <f t="shared" si="6"/>
        <v>0</v>
      </c>
    </row>
    <row r="410" spans="15:15">
      <c r="O410" s="50">
        <f t="shared" si="6"/>
        <v>0</v>
      </c>
    </row>
    <row r="411" spans="15:15">
      <c r="O411" s="50">
        <f t="shared" si="6"/>
        <v>0</v>
      </c>
    </row>
    <row r="412" spans="15:15">
      <c r="O412" s="50">
        <f t="shared" si="6"/>
        <v>0</v>
      </c>
    </row>
    <row r="413" spans="15:15">
      <c r="O413" s="50">
        <f t="shared" si="6"/>
        <v>0</v>
      </c>
    </row>
    <row r="414" spans="15:15">
      <c r="O414" s="50">
        <f t="shared" si="6"/>
        <v>0</v>
      </c>
    </row>
    <row r="415" spans="15:15">
      <c r="O415" s="50">
        <f t="shared" si="6"/>
        <v>0</v>
      </c>
    </row>
    <row r="416" spans="15:15">
      <c r="O416" s="50">
        <f t="shared" si="6"/>
        <v>0</v>
      </c>
    </row>
    <row r="417" spans="15:15">
      <c r="O417" s="50">
        <f t="shared" si="6"/>
        <v>0</v>
      </c>
    </row>
    <row r="418" spans="15:15">
      <c r="O418" s="50">
        <f t="shared" si="6"/>
        <v>0</v>
      </c>
    </row>
    <row r="419" spans="15:15">
      <c r="O419" s="50">
        <f t="shared" si="6"/>
        <v>0</v>
      </c>
    </row>
    <row r="420" spans="15:15">
      <c r="O420" s="50">
        <f t="shared" si="6"/>
        <v>0</v>
      </c>
    </row>
    <row r="421" spans="15:15">
      <c r="O421" s="50">
        <f t="shared" si="6"/>
        <v>0</v>
      </c>
    </row>
    <row r="422" spans="15:15">
      <c r="O422" s="50">
        <f t="shared" si="6"/>
        <v>0</v>
      </c>
    </row>
    <row r="423" spans="15:15">
      <c r="O423" s="50">
        <f t="shared" si="6"/>
        <v>0</v>
      </c>
    </row>
    <row r="424" spans="15:15">
      <c r="O424" s="50">
        <f t="shared" si="6"/>
        <v>0</v>
      </c>
    </row>
    <row r="425" spans="15:15">
      <c r="O425" s="50">
        <f t="shared" si="6"/>
        <v>0</v>
      </c>
    </row>
    <row r="426" spans="15:15">
      <c r="O426" s="50">
        <f t="shared" si="6"/>
        <v>0</v>
      </c>
    </row>
    <row r="427" spans="15:15">
      <c r="O427" s="50">
        <f t="shared" si="6"/>
        <v>0</v>
      </c>
    </row>
    <row r="428" spans="15:15">
      <c r="O428" s="50">
        <f t="shared" si="6"/>
        <v>0</v>
      </c>
    </row>
    <row r="429" spans="15:15">
      <c r="O429" s="50">
        <f t="shared" si="6"/>
        <v>0</v>
      </c>
    </row>
    <row r="430" spans="15:15">
      <c r="O430" s="50">
        <f t="shared" si="6"/>
        <v>0</v>
      </c>
    </row>
    <row r="431" spans="15:15">
      <c r="O431" s="50">
        <f t="shared" si="6"/>
        <v>0</v>
      </c>
    </row>
    <row r="432" spans="15:15">
      <c r="O432" s="50">
        <f t="shared" si="6"/>
        <v>0</v>
      </c>
    </row>
    <row r="433" spans="15:15">
      <c r="O433" s="50">
        <f t="shared" si="6"/>
        <v>0</v>
      </c>
    </row>
    <row r="434" spans="15:15">
      <c r="O434" s="50">
        <f t="shared" si="6"/>
        <v>0</v>
      </c>
    </row>
    <row r="435" spans="15:15">
      <c r="O435" s="50">
        <f t="shared" si="6"/>
        <v>0</v>
      </c>
    </row>
    <row r="436" spans="15:15">
      <c r="O436" s="50">
        <f t="shared" si="6"/>
        <v>0</v>
      </c>
    </row>
    <row r="437" spans="15:15">
      <c r="O437" s="50">
        <f t="shared" si="6"/>
        <v>0</v>
      </c>
    </row>
    <row r="438" spans="15:15">
      <c r="O438" s="50">
        <f t="shared" si="6"/>
        <v>0</v>
      </c>
    </row>
    <row r="439" spans="15:15">
      <c r="O439" s="50">
        <f t="shared" si="6"/>
        <v>0</v>
      </c>
    </row>
    <row r="440" spans="15:15">
      <c r="O440" s="50">
        <f t="shared" si="6"/>
        <v>0</v>
      </c>
    </row>
    <row r="441" spans="15:15">
      <c r="O441" s="50">
        <f t="shared" si="6"/>
        <v>0</v>
      </c>
    </row>
    <row r="442" spans="15:15">
      <c r="O442" s="50">
        <f t="shared" si="6"/>
        <v>0</v>
      </c>
    </row>
    <row r="443" spans="15:15">
      <c r="O443" s="50">
        <f t="shared" si="6"/>
        <v>0</v>
      </c>
    </row>
    <row r="444" spans="15:15">
      <c r="O444" s="50">
        <f t="shared" si="6"/>
        <v>0</v>
      </c>
    </row>
    <row r="445" spans="15:15">
      <c r="O445" s="50">
        <f t="shared" si="6"/>
        <v>0</v>
      </c>
    </row>
    <row r="446" spans="15:15">
      <c r="O446" s="50">
        <f t="shared" si="6"/>
        <v>0</v>
      </c>
    </row>
    <row r="447" spans="15:15">
      <c r="O447" s="50">
        <f t="shared" si="6"/>
        <v>0</v>
      </c>
    </row>
    <row r="448" spans="15:15">
      <c r="O448" s="50">
        <f t="shared" si="6"/>
        <v>0</v>
      </c>
    </row>
    <row r="449" spans="15:15">
      <c r="O449" s="50">
        <f t="shared" si="6"/>
        <v>0</v>
      </c>
    </row>
    <row r="450" spans="15:15">
      <c r="O450" s="50">
        <f t="shared" si="6"/>
        <v>0</v>
      </c>
    </row>
    <row r="451" spans="15:15">
      <c r="O451" s="50">
        <f t="shared" si="6"/>
        <v>0</v>
      </c>
    </row>
    <row r="452" spans="15:15">
      <c r="O452" s="50">
        <f t="shared" ref="O452:O515" si="7">M452*N452</f>
        <v>0</v>
      </c>
    </row>
    <row r="453" spans="15:15">
      <c r="O453" s="50">
        <f t="shared" si="7"/>
        <v>0</v>
      </c>
    </row>
    <row r="454" spans="15:15">
      <c r="O454" s="50">
        <f t="shared" si="7"/>
        <v>0</v>
      </c>
    </row>
    <row r="455" spans="15:15">
      <c r="O455" s="50">
        <f t="shared" si="7"/>
        <v>0</v>
      </c>
    </row>
    <row r="456" spans="15:15">
      <c r="O456" s="50">
        <f t="shared" si="7"/>
        <v>0</v>
      </c>
    </row>
    <row r="457" spans="15:15">
      <c r="O457" s="50">
        <f t="shared" si="7"/>
        <v>0</v>
      </c>
    </row>
    <row r="458" spans="15:15">
      <c r="O458" s="50">
        <f t="shared" si="7"/>
        <v>0</v>
      </c>
    </row>
    <row r="459" spans="15:15">
      <c r="O459" s="50">
        <f t="shared" si="7"/>
        <v>0</v>
      </c>
    </row>
    <row r="460" spans="15:15">
      <c r="O460" s="50">
        <f t="shared" si="7"/>
        <v>0</v>
      </c>
    </row>
    <row r="461" spans="15:15">
      <c r="O461" s="50">
        <f t="shared" si="7"/>
        <v>0</v>
      </c>
    </row>
    <row r="462" spans="15:15">
      <c r="O462" s="50">
        <f t="shared" si="7"/>
        <v>0</v>
      </c>
    </row>
    <row r="463" spans="15:15">
      <c r="O463" s="50">
        <f t="shared" si="7"/>
        <v>0</v>
      </c>
    </row>
    <row r="464" spans="15:15">
      <c r="O464" s="50">
        <f t="shared" si="7"/>
        <v>0</v>
      </c>
    </row>
    <row r="465" spans="15:15">
      <c r="O465" s="50">
        <f t="shared" si="7"/>
        <v>0</v>
      </c>
    </row>
    <row r="466" spans="15:15">
      <c r="O466" s="50">
        <f t="shared" si="7"/>
        <v>0</v>
      </c>
    </row>
    <row r="467" spans="15:15">
      <c r="O467" s="50">
        <f t="shared" si="7"/>
        <v>0</v>
      </c>
    </row>
    <row r="468" spans="15:15">
      <c r="O468" s="50">
        <f t="shared" si="7"/>
        <v>0</v>
      </c>
    </row>
    <row r="469" spans="15:15">
      <c r="O469" s="50">
        <f t="shared" si="7"/>
        <v>0</v>
      </c>
    </row>
    <row r="470" spans="15:15">
      <c r="O470" s="50">
        <f t="shared" si="7"/>
        <v>0</v>
      </c>
    </row>
    <row r="471" spans="15:15">
      <c r="O471" s="50">
        <f t="shared" si="7"/>
        <v>0</v>
      </c>
    </row>
    <row r="472" spans="15:15">
      <c r="O472" s="50">
        <f t="shared" si="7"/>
        <v>0</v>
      </c>
    </row>
    <row r="473" spans="15:15">
      <c r="O473" s="50">
        <f t="shared" si="7"/>
        <v>0</v>
      </c>
    </row>
    <row r="474" spans="15:15">
      <c r="O474" s="50">
        <f t="shared" si="7"/>
        <v>0</v>
      </c>
    </row>
    <row r="475" spans="15:15">
      <c r="O475" s="50">
        <f t="shared" si="7"/>
        <v>0</v>
      </c>
    </row>
    <row r="476" spans="15:15">
      <c r="O476" s="50">
        <f t="shared" si="7"/>
        <v>0</v>
      </c>
    </row>
    <row r="477" spans="15:15">
      <c r="O477" s="50">
        <f t="shared" si="7"/>
        <v>0</v>
      </c>
    </row>
    <row r="478" spans="15:15">
      <c r="O478" s="50">
        <f t="shared" si="7"/>
        <v>0</v>
      </c>
    </row>
    <row r="479" spans="15:15">
      <c r="O479" s="50">
        <f t="shared" si="7"/>
        <v>0</v>
      </c>
    </row>
    <row r="480" spans="15:15">
      <c r="O480" s="50">
        <f t="shared" si="7"/>
        <v>0</v>
      </c>
    </row>
    <row r="481" spans="15:15">
      <c r="O481" s="50">
        <f t="shared" si="7"/>
        <v>0</v>
      </c>
    </row>
    <row r="482" spans="15:15">
      <c r="O482" s="50">
        <f t="shared" si="7"/>
        <v>0</v>
      </c>
    </row>
    <row r="483" spans="15:15">
      <c r="O483" s="50">
        <f t="shared" si="7"/>
        <v>0</v>
      </c>
    </row>
    <row r="484" spans="15:15">
      <c r="O484" s="50">
        <f t="shared" si="7"/>
        <v>0</v>
      </c>
    </row>
    <row r="485" spans="15:15">
      <c r="O485" s="50">
        <f t="shared" si="7"/>
        <v>0</v>
      </c>
    </row>
    <row r="486" spans="15:15">
      <c r="O486" s="50">
        <f t="shared" si="7"/>
        <v>0</v>
      </c>
    </row>
    <row r="487" spans="15:15">
      <c r="O487" s="50">
        <f t="shared" si="7"/>
        <v>0</v>
      </c>
    </row>
    <row r="488" spans="15:15">
      <c r="O488" s="50">
        <f t="shared" si="7"/>
        <v>0</v>
      </c>
    </row>
    <row r="489" spans="15:15">
      <c r="O489" s="50">
        <f t="shared" si="7"/>
        <v>0</v>
      </c>
    </row>
    <row r="490" spans="15:15">
      <c r="O490" s="50">
        <f t="shared" si="7"/>
        <v>0</v>
      </c>
    </row>
    <row r="491" spans="15:15">
      <c r="O491" s="50">
        <f t="shared" si="7"/>
        <v>0</v>
      </c>
    </row>
    <row r="492" spans="15:15">
      <c r="O492" s="50">
        <f t="shared" si="7"/>
        <v>0</v>
      </c>
    </row>
    <row r="493" spans="15:15">
      <c r="O493" s="50">
        <f t="shared" si="7"/>
        <v>0</v>
      </c>
    </row>
    <row r="494" spans="15:15">
      <c r="O494" s="50">
        <f t="shared" si="7"/>
        <v>0</v>
      </c>
    </row>
    <row r="495" spans="15:15">
      <c r="O495" s="50">
        <f t="shared" si="7"/>
        <v>0</v>
      </c>
    </row>
    <row r="496" spans="15:15">
      <c r="O496" s="50">
        <f t="shared" si="7"/>
        <v>0</v>
      </c>
    </row>
    <row r="497" spans="15:15">
      <c r="O497" s="50">
        <f t="shared" si="7"/>
        <v>0</v>
      </c>
    </row>
    <row r="498" spans="15:15">
      <c r="O498" s="50">
        <f t="shared" si="7"/>
        <v>0</v>
      </c>
    </row>
    <row r="499" spans="15:15">
      <c r="O499" s="50">
        <f t="shared" si="7"/>
        <v>0</v>
      </c>
    </row>
    <row r="500" spans="15:15">
      <c r="O500" s="50">
        <f t="shared" si="7"/>
        <v>0</v>
      </c>
    </row>
    <row r="501" spans="15:15">
      <c r="O501" s="50">
        <f t="shared" si="7"/>
        <v>0</v>
      </c>
    </row>
    <row r="502" spans="15:15">
      <c r="O502" s="50">
        <f t="shared" si="7"/>
        <v>0</v>
      </c>
    </row>
    <row r="503" spans="15:15">
      <c r="O503" s="50">
        <f t="shared" si="7"/>
        <v>0</v>
      </c>
    </row>
    <row r="504" spans="15:15">
      <c r="O504" s="50">
        <f t="shared" si="7"/>
        <v>0</v>
      </c>
    </row>
    <row r="505" spans="15:15">
      <c r="O505" s="50">
        <f t="shared" si="7"/>
        <v>0</v>
      </c>
    </row>
    <row r="506" spans="15:15">
      <c r="O506" s="50">
        <f t="shared" si="7"/>
        <v>0</v>
      </c>
    </row>
    <row r="507" spans="15:15">
      <c r="O507" s="50">
        <f t="shared" si="7"/>
        <v>0</v>
      </c>
    </row>
    <row r="508" spans="15:15">
      <c r="O508" s="50">
        <f t="shared" si="7"/>
        <v>0</v>
      </c>
    </row>
    <row r="509" spans="15:15">
      <c r="O509" s="50">
        <f t="shared" si="7"/>
        <v>0</v>
      </c>
    </row>
  </sheetData>
  <mergeCells count="1">
    <mergeCell ref="A1:Y1"/>
  </mergeCells>
  <dataValidations count="1">
    <dataValidation type="list" showErrorMessage="1" errorTitle="Invalid value" error="Enter Yes or No" sqref="S4:S509" xr:uid="{00000000-0002-0000-0500-000000000000}">
      <formula1>"Yes,No"</formula1>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509"/>
  <sheetViews>
    <sheetView zoomScaleNormal="100" workbookViewId="0">
      <pane ySplit="3" topLeftCell="A4" activePane="bottomLeft" state="frozen"/>
      <selection pane="bottomLeft"/>
    </sheetView>
  </sheetViews>
  <sheetFormatPr defaultColWidth="8.5703125" defaultRowHeight="14.45"/>
  <cols>
    <col min="1" max="1" width="18" customWidth="1"/>
    <col min="2" max="2" width="22" customWidth="1"/>
    <col min="3" max="3" width="18" customWidth="1"/>
    <col min="4" max="4" width="26" customWidth="1"/>
    <col min="5" max="7" width="18" customWidth="1"/>
    <col min="8" max="8" width="16" customWidth="1"/>
    <col min="9" max="23" width="18" customWidth="1"/>
    <col min="24" max="24" width="45" customWidth="1"/>
    <col min="25" max="25" width="30" customWidth="1"/>
  </cols>
  <sheetData>
    <row r="1" spans="1:26" ht="21.75" customHeight="1">
      <c r="A1" s="78" t="s">
        <v>306</v>
      </c>
      <c r="B1" s="69"/>
      <c r="C1" s="69"/>
      <c r="D1" s="69"/>
      <c r="E1" s="69"/>
      <c r="F1" s="69"/>
      <c r="G1" s="69"/>
      <c r="H1" s="69"/>
      <c r="I1" s="69"/>
      <c r="J1" s="69"/>
      <c r="K1" s="69"/>
      <c r="L1" s="69"/>
      <c r="M1" s="69"/>
      <c r="N1" s="69"/>
      <c r="O1" s="69"/>
      <c r="P1" s="69"/>
      <c r="Q1" s="69"/>
      <c r="R1" s="69"/>
      <c r="S1" s="69"/>
      <c r="T1" s="69"/>
      <c r="U1" s="69"/>
      <c r="V1" s="69"/>
      <c r="W1" s="69"/>
      <c r="X1" s="69"/>
      <c r="Y1" s="69"/>
    </row>
    <row r="2" spans="1:26" ht="18" customHeight="1">
      <c r="A2" s="64" t="s">
        <v>150</v>
      </c>
      <c r="B2" s="64" t="s">
        <v>151</v>
      </c>
      <c r="C2" s="64" t="s">
        <v>152</v>
      </c>
      <c r="D2" s="64" t="s">
        <v>153</v>
      </c>
      <c r="E2" s="64" t="s">
        <v>154</v>
      </c>
      <c r="F2" s="64" t="s">
        <v>155</v>
      </c>
      <c r="G2" s="64" t="s">
        <v>156</v>
      </c>
      <c r="H2" s="64" t="s">
        <v>80</v>
      </c>
      <c r="I2" s="64" t="s">
        <v>82</v>
      </c>
      <c r="J2" s="64" t="s">
        <v>157</v>
      </c>
      <c r="K2" s="64" t="s">
        <v>158</v>
      </c>
      <c r="L2" s="64" t="s">
        <v>159</v>
      </c>
      <c r="M2" s="64" t="s">
        <v>160</v>
      </c>
      <c r="N2" s="64" t="s">
        <v>161</v>
      </c>
      <c r="P2" s="64" t="s">
        <v>162</v>
      </c>
      <c r="Q2" s="64" t="s">
        <v>118</v>
      </c>
      <c r="R2" s="64" t="s">
        <v>163</v>
      </c>
      <c r="S2" s="64" t="s">
        <v>164</v>
      </c>
      <c r="T2" s="64" t="s">
        <v>165</v>
      </c>
      <c r="U2" s="64" t="s">
        <v>166</v>
      </c>
      <c r="V2" s="64" t="s">
        <v>167</v>
      </c>
      <c r="W2" s="64" t="s">
        <v>168</v>
      </c>
      <c r="X2" s="64" t="s">
        <v>169</v>
      </c>
      <c r="Y2" s="64" t="s">
        <v>121</v>
      </c>
      <c r="Z2" s="64" t="s">
        <v>170</v>
      </c>
    </row>
    <row r="3" spans="1:26" ht="49.5" customHeight="1">
      <c r="A3" s="14" t="s">
        <v>171</v>
      </c>
      <c r="B3" s="14" t="s">
        <v>172</v>
      </c>
      <c r="C3" s="14" t="s">
        <v>173</v>
      </c>
      <c r="D3" s="14" t="s">
        <v>174</v>
      </c>
      <c r="E3" s="15" t="s">
        <v>175</v>
      </c>
      <c r="F3" s="14" t="s">
        <v>176</v>
      </c>
      <c r="G3" s="15" t="s">
        <v>177</v>
      </c>
      <c r="H3" s="14" t="s">
        <v>178</v>
      </c>
      <c r="I3" s="15" t="s">
        <v>179</v>
      </c>
      <c r="J3" s="14" t="s">
        <v>180</v>
      </c>
      <c r="K3" s="15" t="s">
        <v>181</v>
      </c>
      <c r="L3" s="15" t="s">
        <v>182</v>
      </c>
      <c r="M3" s="15" t="s">
        <v>183</v>
      </c>
      <c r="N3" s="15" t="s">
        <v>184</v>
      </c>
      <c r="O3" s="49" t="s">
        <v>185</v>
      </c>
      <c r="P3" s="15" t="s">
        <v>186</v>
      </c>
      <c r="Q3" s="14" t="s">
        <v>187</v>
      </c>
      <c r="R3" s="15" t="s">
        <v>188</v>
      </c>
      <c r="S3" s="15" t="s">
        <v>189</v>
      </c>
      <c r="T3" s="14" t="s">
        <v>190</v>
      </c>
      <c r="U3" s="14" t="s">
        <v>191</v>
      </c>
      <c r="V3" s="14" t="s">
        <v>192</v>
      </c>
      <c r="W3" s="14" t="s">
        <v>193</v>
      </c>
      <c r="X3" s="14" t="s">
        <v>194</v>
      </c>
      <c r="Y3" s="14" t="s">
        <v>195</v>
      </c>
      <c r="Z3" s="14" t="s">
        <v>196</v>
      </c>
    </row>
    <row r="4" spans="1:26" ht="15" customHeight="1">
      <c r="A4" s="6" t="s">
        <v>307</v>
      </c>
      <c r="B4" s="6" t="s">
        <v>198</v>
      </c>
      <c r="C4" s="6" t="s">
        <v>199</v>
      </c>
      <c r="D4" s="6" t="s">
        <v>200</v>
      </c>
      <c r="E4" s="7">
        <v>6.9</v>
      </c>
      <c r="F4" s="6" t="s">
        <v>201</v>
      </c>
      <c r="G4" s="16" t="s">
        <v>202</v>
      </c>
      <c r="H4" s="6" t="s">
        <v>94</v>
      </c>
      <c r="I4" s="7">
        <v>1.07</v>
      </c>
      <c r="J4" s="6" t="s">
        <v>203</v>
      </c>
      <c r="K4" s="7">
        <v>6</v>
      </c>
      <c r="L4" s="7">
        <v>125</v>
      </c>
      <c r="M4" s="7">
        <v>890</v>
      </c>
      <c r="N4" s="7">
        <v>1</v>
      </c>
      <c r="O4" s="50">
        <f t="shared" ref="O4:O67" si="0">M4*N4</f>
        <v>890</v>
      </c>
      <c r="P4" s="17">
        <v>45658</v>
      </c>
      <c r="Q4" s="6" t="s">
        <v>129</v>
      </c>
      <c r="R4" s="7">
        <v>108</v>
      </c>
      <c r="S4" s="16" t="s">
        <v>204</v>
      </c>
      <c r="T4" s="6" t="s">
        <v>308</v>
      </c>
      <c r="U4" s="6" t="s">
        <v>309</v>
      </c>
      <c r="V4" s="6" t="s">
        <v>310</v>
      </c>
      <c r="W4" s="6" t="s">
        <v>311</v>
      </c>
      <c r="X4" s="6" t="s">
        <v>312</v>
      </c>
      <c r="Y4" s="6" t="s">
        <v>313</v>
      </c>
      <c r="Z4" s="6" t="s">
        <v>211</v>
      </c>
    </row>
    <row r="5" spans="1:26" ht="15" customHeight="1">
      <c r="A5" s="8" t="s">
        <v>314</v>
      </c>
      <c r="B5" s="8" t="s">
        <v>198</v>
      </c>
      <c r="C5" s="8" t="s">
        <v>199</v>
      </c>
      <c r="D5" s="8" t="s">
        <v>200</v>
      </c>
      <c r="E5" s="9">
        <v>7.1</v>
      </c>
      <c r="F5" s="8" t="s">
        <v>201</v>
      </c>
      <c r="G5" s="18" t="s">
        <v>202</v>
      </c>
      <c r="H5" s="8" t="s">
        <v>102</v>
      </c>
      <c r="I5" s="9">
        <v>1.03</v>
      </c>
      <c r="J5" s="8" t="s">
        <v>203</v>
      </c>
      <c r="K5" s="9">
        <v>5</v>
      </c>
      <c r="L5" s="9">
        <v>140</v>
      </c>
      <c r="M5" s="9">
        <v>910</v>
      </c>
      <c r="N5" s="9">
        <v>1.2</v>
      </c>
      <c r="O5" s="50">
        <f t="shared" si="0"/>
        <v>1092</v>
      </c>
      <c r="P5" s="19">
        <v>45689</v>
      </c>
      <c r="Q5" s="8" t="s">
        <v>129</v>
      </c>
      <c r="R5" s="9">
        <v>109</v>
      </c>
      <c r="S5" s="18" t="s">
        <v>204</v>
      </c>
      <c r="T5" s="8" t="s">
        <v>308</v>
      </c>
      <c r="U5" s="8" t="s">
        <v>309</v>
      </c>
      <c r="V5" s="8" t="s">
        <v>310</v>
      </c>
      <c r="W5" s="8" t="s">
        <v>311</v>
      </c>
      <c r="X5" s="8" t="s">
        <v>315</v>
      </c>
      <c r="Y5" s="8" t="s">
        <v>313</v>
      </c>
      <c r="Z5" s="8" t="s">
        <v>211</v>
      </c>
    </row>
    <row r="6" spans="1:26" ht="15" customHeight="1">
      <c r="A6" s="6" t="s">
        <v>316</v>
      </c>
      <c r="B6" s="6" t="s">
        <v>198</v>
      </c>
      <c r="C6" s="6" t="s">
        <v>199</v>
      </c>
      <c r="D6" s="6" t="s">
        <v>200</v>
      </c>
      <c r="E6" s="7">
        <v>7</v>
      </c>
      <c r="F6" s="6" t="s">
        <v>201</v>
      </c>
      <c r="G6" s="16" t="s">
        <v>202</v>
      </c>
      <c r="H6" s="6" t="s">
        <v>90</v>
      </c>
      <c r="I6" s="7">
        <v>1</v>
      </c>
      <c r="J6" s="6" t="s">
        <v>203</v>
      </c>
      <c r="K6" s="7">
        <v>6</v>
      </c>
      <c r="L6" s="7">
        <v>150</v>
      </c>
      <c r="M6" s="7">
        <v>925</v>
      </c>
      <c r="N6" s="7">
        <v>1.1000000000000001</v>
      </c>
      <c r="O6" s="50">
        <f t="shared" si="0"/>
        <v>1017.5000000000001</v>
      </c>
      <c r="P6" s="17">
        <v>45717</v>
      </c>
      <c r="Q6" s="6" t="s">
        <v>129</v>
      </c>
      <c r="R6" s="7">
        <v>110</v>
      </c>
      <c r="S6" s="16" t="s">
        <v>204</v>
      </c>
      <c r="T6" s="6" t="s">
        <v>308</v>
      </c>
      <c r="U6" s="6" t="s">
        <v>309</v>
      </c>
      <c r="V6" s="6" t="s">
        <v>310</v>
      </c>
      <c r="W6" s="6" t="s">
        <v>311</v>
      </c>
      <c r="X6" s="6" t="s">
        <v>317</v>
      </c>
      <c r="Y6" s="6" t="s">
        <v>313</v>
      </c>
      <c r="Z6" s="6" t="s">
        <v>211</v>
      </c>
    </row>
    <row r="7" spans="1:26" ht="15" customHeight="1">
      <c r="A7" s="8" t="s">
        <v>318</v>
      </c>
      <c r="B7" s="8" t="s">
        <v>198</v>
      </c>
      <c r="C7" s="8" t="s">
        <v>199</v>
      </c>
      <c r="D7" s="8" t="s">
        <v>200</v>
      </c>
      <c r="E7" s="9">
        <v>7.2</v>
      </c>
      <c r="F7" s="8" t="s">
        <v>201</v>
      </c>
      <c r="G7" s="18" t="s">
        <v>202</v>
      </c>
      <c r="H7" s="8" t="s">
        <v>94</v>
      </c>
      <c r="I7" s="9">
        <v>1.07</v>
      </c>
      <c r="J7" s="8" t="s">
        <v>203</v>
      </c>
      <c r="K7" s="9">
        <v>5</v>
      </c>
      <c r="L7" s="9">
        <v>175</v>
      </c>
      <c r="M7" s="9">
        <v>940</v>
      </c>
      <c r="N7" s="9">
        <v>0.95</v>
      </c>
      <c r="O7" s="50">
        <f t="shared" si="0"/>
        <v>893</v>
      </c>
      <c r="P7" s="19">
        <v>45748</v>
      </c>
      <c r="Q7" s="8" t="s">
        <v>129</v>
      </c>
      <c r="R7" s="9">
        <v>110</v>
      </c>
      <c r="S7" s="18" t="s">
        <v>204</v>
      </c>
      <c r="T7" s="8" t="s">
        <v>308</v>
      </c>
      <c r="U7" s="8" t="s">
        <v>309</v>
      </c>
      <c r="V7" s="8" t="s">
        <v>310</v>
      </c>
      <c r="W7" s="8" t="s">
        <v>311</v>
      </c>
      <c r="X7" s="8" t="s">
        <v>319</v>
      </c>
      <c r="Y7" s="8" t="s">
        <v>313</v>
      </c>
      <c r="Z7" s="8" t="s">
        <v>211</v>
      </c>
    </row>
    <row r="8" spans="1:26" ht="15" customHeight="1">
      <c r="A8" s="6" t="s">
        <v>320</v>
      </c>
      <c r="B8" s="6" t="s">
        <v>198</v>
      </c>
      <c r="C8" s="6" t="s">
        <v>199</v>
      </c>
      <c r="D8" s="6" t="s">
        <v>200</v>
      </c>
      <c r="E8" s="7">
        <v>7.4</v>
      </c>
      <c r="F8" s="6" t="s">
        <v>201</v>
      </c>
      <c r="G8" s="16" t="s">
        <v>202</v>
      </c>
      <c r="H8" s="6" t="s">
        <v>102</v>
      </c>
      <c r="I8" s="7">
        <v>1.03</v>
      </c>
      <c r="J8" s="6" t="s">
        <v>203</v>
      </c>
      <c r="K8" s="7">
        <v>6</v>
      </c>
      <c r="L8" s="7">
        <v>200</v>
      </c>
      <c r="M8" s="7">
        <v>955</v>
      </c>
      <c r="N8" s="7">
        <v>1.3</v>
      </c>
      <c r="O8" s="50">
        <f t="shared" si="0"/>
        <v>1241.5</v>
      </c>
      <c r="P8" s="17">
        <v>45778</v>
      </c>
      <c r="Q8" s="6" t="s">
        <v>129</v>
      </c>
      <c r="R8" s="7">
        <v>111</v>
      </c>
      <c r="S8" s="16" t="s">
        <v>204</v>
      </c>
      <c r="T8" s="6" t="s">
        <v>308</v>
      </c>
      <c r="U8" s="6" t="s">
        <v>309</v>
      </c>
      <c r="V8" s="6" t="s">
        <v>310</v>
      </c>
      <c r="W8" s="6" t="s">
        <v>311</v>
      </c>
      <c r="X8" s="6" t="s">
        <v>321</v>
      </c>
      <c r="Y8" s="6" t="s">
        <v>313</v>
      </c>
      <c r="Z8" s="6" t="s">
        <v>211</v>
      </c>
    </row>
    <row r="9" spans="1:26" ht="15" customHeight="1">
      <c r="A9" s="8" t="s">
        <v>322</v>
      </c>
      <c r="B9" s="8" t="s">
        <v>225</v>
      </c>
      <c r="C9" s="8" t="s">
        <v>226</v>
      </c>
      <c r="D9" s="8" t="s">
        <v>227</v>
      </c>
      <c r="E9" s="9">
        <v>6</v>
      </c>
      <c r="F9" s="8" t="s">
        <v>228</v>
      </c>
      <c r="G9" s="18" t="s">
        <v>202</v>
      </c>
      <c r="H9" s="8" t="s">
        <v>102</v>
      </c>
      <c r="I9" s="9">
        <v>1.03</v>
      </c>
      <c r="J9" s="8" t="s">
        <v>203</v>
      </c>
      <c r="K9" s="9">
        <v>5</v>
      </c>
      <c r="L9" s="9">
        <v>500</v>
      </c>
      <c r="M9" s="9">
        <v>17.600000000000001</v>
      </c>
      <c r="N9" s="9">
        <v>1</v>
      </c>
      <c r="O9" s="50">
        <f t="shared" si="0"/>
        <v>17.600000000000001</v>
      </c>
      <c r="P9" s="19">
        <v>45658</v>
      </c>
      <c r="Q9" s="8" t="s">
        <v>133</v>
      </c>
      <c r="R9" s="9">
        <v>114</v>
      </c>
      <c r="S9" s="18" t="s">
        <v>204</v>
      </c>
      <c r="T9" s="8" t="s">
        <v>308</v>
      </c>
      <c r="U9" s="8" t="s">
        <v>309</v>
      </c>
      <c r="V9" s="8" t="s">
        <v>310</v>
      </c>
      <c r="W9" s="8" t="s">
        <v>311</v>
      </c>
      <c r="X9" s="8" t="s">
        <v>323</v>
      </c>
      <c r="Y9" s="8" t="s">
        <v>313</v>
      </c>
      <c r="Z9" s="8" t="s">
        <v>230</v>
      </c>
    </row>
    <row r="10" spans="1:26" ht="15" customHeight="1">
      <c r="A10" s="6" t="s">
        <v>324</v>
      </c>
      <c r="B10" s="6" t="s">
        <v>225</v>
      </c>
      <c r="C10" s="6" t="s">
        <v>226</v>
      </c>
      <c r="D10" s="6" t="s">
        <v>227</v>
      </c>
      <c r="E10" s="7">
        <v>6.1</v>
      </c>
      <c r="F10" s="6" t="s">
        <v>228</v>
      </c>
      <c r="G10" s="16" t="s">
        <v>202</v>
      </c>
      <c r="H10" s="6" t="s">
        <v>112</v>
      </c>
      <c r="I10" s="7">
        <v>0.88</v>
      </c>
      <c r="J10" s="6" t="s">
        <v>203</v>
      </c>
      <c r="K10" s="7">
        <v>6</v>
      </c>
      <c r="L10" s="7">
        <v>600</v>
      </c>
      <c r="M10" s="7">
        <v>17.899999999999999</v>
      </c>
      <c r="N10" s="7">
        <v>1.2</v>
      </c>
      <c r="O10" s="50">
        <f t="shared" si="0"/>
        <v>21.479999999999997</v>
      </c>
      <c r="P10" s="17">
        <v>45689</v>
      </c>
      <c r="Q10" s="6" t="s">
        <v>133</v>
      </c>
      <c r="R10" s="7">
        <v>115</v>
      </c>
      <c r="S10" s="16" t="s">
        <v>204</v>
      </c>
      <c r="T10" s="6" t="s">
        <v>308</v>
      </c>
      <c r="U10" s="6" t="s">
        <v>309</v>
      </c>
      <c r="V10" s="6" t="s">
        <v>310</v>
      </c>
      <c r="W10" s="6" t="s">
        <v>311</v>
      </c>
      <c r="X10" s="6" t="s">
        <v>325</v>
      </c>
      <c r="Y10" s="6" t="s">
        <v>313</v>
      </c>
      <c r="Z10" s="6" t="s">
        <v>230</v>
      </c>
    </row>
    <row r="11" spans="1:26" ht="15" customHeight="1">
      <c r="A11" s="8" t="s">
        <v>326</v>
      </c>
      <c r="B11" s="8" t="s">
        <v>225</v>
      </c>
      <c r="C11" s="8" t="s">
        <v>226</v>
      </c>
      <c r="D11" s="8" t="s">
        <v>227</v>
      </c>
      <c r="E11" s="9">
        <v>6.2</v>
      </c>
      <c r="F11" s="8" t="s">
        <v>228</v>
      </c>
      <c r="G11" s="18" t="s">
        <v>202</v>
      </c>
      <c r="H11" s="8" t="s">
        <v>90</v>
      </c>
      <c r="I11" s="9">
        <v>1</v>
      </c>
      <c r="J11" s="8" t="s">
        <v>203</v>
      </c>
      <c r="K11" s="9">
        <v>6</v>
      </c>
      <c r="L11" s="9">
        <v>700</v>
      </c>
      <c r="M11" s="9">
        <v>18.2</v>
      </c>
      <c r="N11" s="9">
        <v>1.1000000000000001</v>
      </c>
      <c r="O11" s="50">
        <f t="shared" si="0"/>
        <v>20.02</v>
      </c>
      <c r="P11" s="19">
        <v>45717</v>
      </c>
      <c r="Q11" s="8" t="s">
        <v>133</v>
      </c>
      <c r="R11" s="9">
        <v>116</v>
      </c>
      <c r="S11" s="18" t="s">
        <v>204</v>
      </c>
      <c r="T11" s="8" t="s">
        <v>308</v>
      </c>
      <c r="U11" s="8" t="s">
        <v>309</v>
      </c>
      <c r="V11" s="8" t="s">
        <v>310</v>
      </c>
      <c r="W11" s="8" t="s">
        <v>311</v>
      </c>
      <c r="X11" s="8" t="s">
        <v>327</v>
      </c>
      <c r="Y11" s="8" t="s">
        <v>313</v>
      </c>
      <c r="Z11" s="8" t="s">
        <v>230</v>
      </c>
    </row>
    <row r="12" spans="1:26" ht="15" customHeight="1">
      <c r="A12" s="6" t="s">
        <v>328</v>
      </c>
      <c r="B12" s="6" t="s">
        <v>244</v>
      </c>
      <c r="C12" s="6" t="s">
        <v>245</v>
      </c>
      <c r="D12" s="6" t="s">
        <v>246</v>
      </c>
      <c r="E12" s="7">
        <v>6.3</v>
      </c>
      <c r="F12" s="6" t="s">
        <v>247</v>
      </c>
      <c r="G12" s="16" t="s">
        <v>202</v>
      </c>
      <c r="H12" s="6" t="s">
        <v>94</v>
      </c>
      <c r="I12" s="7">
        <v>1.07</v>
      </c>
      <c r="J12" s="6" t="s">
        <v>203</v>
      </c>
      <c r="K12" s="7">
        <v>6</v>
      </c>
      <c r="L12" s="7">
        <v>24</v>
      </c>
      <c r="M12" s="7">
        <v>4050</v>
      </c>
      <c r="N12" s="7">
        <v>1</v>
      </c>
      <c r="O12" s="50">
        <f t="shared" si="0"/>
        <v>4050</v>
      </c>
      <c r="P12" s="17">
        <v>45658</v>
      </c>
      <c r="Q12" s="6" t="s">
        <v>137</v>
      </c>
      <c r="R12" s="7">
        <v>120</v>
      </c>
      <c r="S12" s="16" t="s">
        <v>204</v>
      </c>
      <c r="T12" s="6" t="s">
        <v>308</v>
      </c>
      <c r="U12" s="6" t="s">
        <v>309</v>
      </c>
      <c r="V12" s="6" t="s">
        <v>310</v>
      </c>
      <c r="W12" s="6" t="s">
        <v>311</v>
      </c>
      <c r="X12" s="6" t="s">
        <v>329</v>
      </c>
      <c r="Y12" s="6" t="s">
        <v>313</v>
      </c>
      <c r="Z12" s="6" t="s">
        <v>249</v>
      </c>
    </row>
    <row r="13" spans="1:26" ht="15" customHeight="1">
      <c r="A13" s="8" t="s">
        <v>330</v>
      </c>
      <c r="B13" s="8" t="s">
        <v>244</v>
      </c>
      <c r="C13" s="8" t="s">
        <v>245</v>
      </c>
      <c r="D13" s="8" t="s">
        <v>246</v>
      </c>
      <c r="E13" s="9">
        <v>6.5</v>
      </c>
      <c r="F13" s="8" t="s">
        <v>247</v>
      </c>
      <c r="G13" s="18" t="s">
        <v>202</v>
      </c>
      <c r="H13" s="8" t="s">
        <v>98</v>
      </c>
      <c r="I13" s="9">
        <v>0.94</v>
      </c>
      <c r="J13" s="8" t="s">
        <v>203</v>
      </c>
      <c r="K13" s="9">
        <v>7</v>
      </c>
      <c r="L13" s="9">
        <v>24</v>
      </c>
      <c r="M13" s="9">
        <v>4100</v>
      </c>
      <c r="N13" s="9">
        <v>1.2</v>
      </c>
      <c r="O13" s="50">
        <f t="shared" si="0"/>
        <v>4920</v>
      </c>
      <c r="P13" s="19">
        <v>45689</v>
      </c>
      <c r="Q13" s="8" t="s">
        <v>137</v>
      </c>
      <c r="R13" s="9">
        <v>121</v>
      </c>
      <c r="S13" s="18" t="s">
        <v>204</v>
      </c>
      <c r="T13" s="8" t="s">
        <v>308</v>
      </c>
      <c r="U13" s="8" t="s">
        <v>309</v>
      </c>
      <c r="V13" s="8" t="s">
        <v>310</v>
      </c>
      <c r="W13" s="8" t="s">
        <v>311</v>
      </c>
      <c r="X13" s="8" t="s">
        <v>331</v>
      </c>
      <c r="Y13" s="8" t="s">
        <v>313</v>
      </c>
      <c r="Z13" s="8" t="s">
        <v>249</v>
      </c>
    </row>
    <row r="14" spans="1:26" ht="15" customHeight="1">
      <c r="A14" s="6" t="s">
        <v>332</v>
      </c>
      <c r="B14" s="6" t="s">
        <v>244</v>
      </c>
      <c r="C14" s="6" t="s">
        <v>245</v>
      </c>
      <c r="D14" s="6" t="s">
        <v>246</v>
      </c>
      <c r="E14" s="7">
        <v>6.6</v>
      </c>
      <c r="F14" s="6" t="s">
        <v>247</v>
      </c>
      <c r="G14" s="16" t="s">
        <v>202</v>
      </c>
      <c r="H14" s="6" t="s">
        <v>90</v>
      </c>
      <c r="I14" s="7">
        <v>1</v>
      </c>
      <c r="J14" s="6" t="s">
        <v>203</v>
      </c>
      <c r="K14" s="7">
        <v>7</v>
      </c>
      <c r="L14" s="7">
        <v>36</v>
      </c>
      <c r="M14" s="7">
        <v>4180</v>
      </c>
      <c r="N14" s="7">
        <v>1.1000000000000001</v>
      </c>
      <c r="O14" s="50">
        <f t="shared" si="0"/>
        <v>4598</v>
      </c>
      <c r="P14" s="17">
        <v>45717</v>
      </c>
      <c r="Q14" s="6" t="s">
        <v>137</v>
      </c>
      <c r="R14" s="7">
        <v>122</v>
      </c>
      <c r="S14" s="16" t="s">
        <v>204</v>
      </c>
      <c r="T14" s="6" t="s">
        <v>308</v>
      </c>
      <c r="U14" s="6" t="s">
        <v>309</v>
      </c>
      <c r="V14" s="6" t="s">
        <v>310</v>
      </c>
      <c r="W14" s="6" t="s">
        <v>311</v>
      </c>
      <c r="X14" s="6" t="s">
        <v>333</v>
      </c>
      <c r="Y14" s="6" t="s">
        <v>313</v>
      </c>
      <c r="Z14" s="6" t="s">
        <v>249</v>
      </c>
    </row>
    <row r="15" spans="1:26" ht="15" customHeight="1">
      <c r="A15" s="8" t="s">
        <v>334</v>
      </c>
      <c r="B15" s="8" t="s">
        <v>263</v>
      </c>
      <c r="C15" s="8" t="s">
        <v>264</v>
      </c>
      <c r="D15" s="8" t="s">
        <v>265</v>
      </c>
      <c r="E15" s="9">
        <v>7</v>
      </c>
      <c r="F15" s="8" t="s">
        <v>247</v>
      </c>
      <c r="G15" s="18" t="s">
        <v>202</v>
      </c>
      <c r="H15" s="8" t="s">
        <v>112</v>
      </c>
      <c r="I15" s="9">
        <v>0.88</v>
      </c>
      <c r="J15" s="8" t="s">
        <v>266</v>
      </c>
      <c r="K15" s="9">
        <v>8</v>
      </c>
      <c r="L15" s="9">
        <v>48</v>
      </c>
      <c r="M15" s="9">
        <v>1300</v>
      </c>
      <c r="N15" s="9">
        <v>1</v>
      </c>
      <c r="O15" s="50">
        <f t="shared" si="0"/>
        <v>1300</v>
      </c>
      <c r="P15" s="19">
        <v>45658</v>
      </c>
      <c r="Q15" s="8" t="s">
        <v>141</v>
      </c>
      <c r="R15" s="9">
        <v>115</v>
      </c>
      <c r="S15" s="18" t="s">
        <v>204</v>
      </c>
      <c r="T15" s="8" t="s">
        <v>308</v>
      </c>
      <c r="U15" s="8" t="s">
        <v>309</v>
      </c>
      <c r="V15" s="8" t="s">
        <v>310</v>
      </c>
      <c r="W15" s="8" t="s">
        <v>311</v>
      </c>
      <c r="X15" s="8" t="s">
        <v>335</v>
      </c>
      <c r="Y15" s="8" t="s">
        <v>313</v>
      </c>
      <c r="Z15" s="8" t="s">
        <v>268</v>
      </c>
    </row>
    <row r="16" spans="1:26" ht="15" customHeight="1">
      <c r="A16" s="6" t="s">
        <v>336</v>
      </c>
      <c r="B16" s="6" t="s">
        <v>263</v>
      </c>
      <c r="C16" s="6" t="s">
        <v>264</v>
      </c>
      <c r="D16" s="6" t="s">
        <v>265</v>
      </c>
      <c r="E16" s="7">
        <v>7.1</v>
      </c>
      <c r="F16" s="6" t="s">
        <v>247</v>
      </c>
      <c r="G16" s="16" t="s">
        <v>202</v>
      </c>
      <c r="H16" s="6" t="s">
        <v>102</v>
      </c>
      <c r="I16" s="7">
        <v>1.03</v>
      </c>
      <c r="J16" s="6" t="s">
        <v>266</v>
      </c>
      <c r="K16" s="7">
        <v>8</v>
      </c>
      <c r="L16" s="7">
        <v>60</v>
      </c>
      <c r="M16" s="7">
        <v>1325</v>
      </c>
      <c r="N16" s="7">
        <v>1.2</v>
      </c>
      <c r="O16" s="50">
        <f t="shared" si="0"/>
        <v>1590</v>
      </c>
      <c r="P16" s="17">
        <v>45689</v>
      </c>
      <c r="Q16" s="6" t="s">
        <v>141</v>
      </c>
      <c r="R16" s="7">
        <v>116</v>
      </c>
      <c r="S16" s="16" t="s">
        <v>204</v>
      </c>
      <c r="T16" s="6" t="s">
        <v>308</v>
      </c>
      <c r="U16" s="6" t="s">
        <v>309</v>
      </c>
      <c r="V16" s="6" t="s">
        <v>310</v>
      </c>
      <c r="W16" s="6" t="s">
        <v>311</v>
      </c>
      <c r="X16" s="6" t="s">
        <v>337</v>
      </c>
      <c r="Y16" s="6" t="s">
        <v>313</v>
      </c>
      <c r="Z16" s="6" t="s">
        <v>268</v>
      </c>
    </row>
    <row r="17" spans="1:26" ht="15" customHeight="1">
      <c r="A17" s="8" t="s">
        <v>338</v>
      </c>
      <c r="B17" s="8" t="s">
        <v>263</v>
      </c>
      <c r="C17" s="8" t="s">
        <v>264</v>
      </c>
      <c r="D17" s="8" t="s">
        <v>265</v>
      </c>
      <c r="E17" s="9">
        <v>7.2</v>
      </c>
      <c r="F17" s="8" t="s">
        <v>247</v>
      </c>
      <c r="G17" s="18" t="s">
        <v>202</v>
      </c>
      <c r="H17" s="8" t="s">
        <v>90</v>
      </c>
      <c r="I17" s="9">
        <v>1</v>
      </c>
      <c r="J17" s="8" t="s">
        <v>266</v>
      </c>
      <c r="K17" s="9">
        <v>8</v>
      </c>
      <c r="L17" s="9">
        <v>60</v>
      </c>
      <c r="M17" s="9">
        <v>1360</v>
      </c>
      <c r="N17" s="9">
        <v>1.1000000000000001</v>
      </c>
      <c r="O17" s="50">
        <f t="shared" si="0"/>
        <v>1496.0000000000002</v>
      </c>
      <c r="P17" s="19">
        <v>45717</v>
      </c>
      <c r="Q17" s="8" t="s">
        <v>141</v>
      </c>
      <c r="R17" s="9">
        <v>117</v>
      </c>
      <c r="S17" s="18" t="s">
        <v>204</v>
      </c>
      <c r="T17" s="8" t="s">
        <v>308</v>
      </c>
      <c r="U17" s="8" t="s">
        <v>309</v>
      </c>
      <c r="V17" s="8" t="s">
        <v>310</v>
      </c>
      <c r="W17" s="8" t="s">
        <v>311</v>
      </c>
      <c r="X17" s="8" t="s">
        <v>339</v>
      </c>
      <c r="Y17" s="8" t="s">
        <v>313</v>
      </c>
      <c r="Z17" s="8" t="s">
        <v>268</v>
      </c>
    </row>
    <row r="18" spans="1:26" ht="15" customHeight="1">
      <c r="A18" s="6" t="s">
        <v>340</v>
      </c>
      <c r="B18" s="6" t="s">
        <v>282</v>
      </c>
      <c r="C18" s="6" t="s">
        <v>283</v>
      </c>
      <c r="D18" s="6" t="s">
        <v>284</v>
      </c>
      <c r="E18" s="7">
        <v>6.4</v>
      </c>
      <c r="F18" s="6" t="s">
        <v>285</v>
      </c>
      <c r="G18" s="16" t="s">
        <v>202</v>
      </c>
      <c r="H18" s="6" t="s">
        <v>94</v>
      </c>
      <c r="I18" s="7">
        <v>1.07</v>
      </c>
      <c r="J18" s="6" t="s">
        <v>203</v>
      </c>
      <c r="K18" s="7">
        <v>6</v>
      </c>
      <c r="L18" s="7">
        <v>900</v>
      </c>
      <c r="M18" s="7">
        <v>39</v>
      </c>
      <c r="N18" s="7">
        <v>1</v>
      </c>
      <c r="O18" s="50">
        <f t="shared" si="0"/>
        <v>39</v>
      </c>
      <c r="P18" s="17">
        <v>45658</v>
      </c>
      <c r="Q18" s="6" t="s">
        <v>145</v>
      </c>
      <c r="R18" s="7">
        <v>116</v>
      </c>
      <c r="S18" s="16" t="s">
        <v>204</v>
      </c>
      <c r="T18" s="6" t="s">
        <v>308</v>
      </c>
      <c r="U18" s="6" t="s">
        <v>309</v>
      </c>
      <c r="V18" s="6" t="s">
        <v>310</v>
      </c>
      <c r="W18" s="6" t="s">
        <v>311</v>
      </c>
      <c r="X18" s="6" t="s">
        <v>341</v>
      </c>
      <c r="Y18" s="6" t="s">
        <v>313</v>
      </c>
      <c r="Z18" s="6" t="s">
        <v>287</v>
      </c>
    </row>
    <row r="19" spans="1:26" ht="15" customHeight="1">
      <c r="A19" s="8" t="s">
        <v>342</v>
      </c>
      <c r="B19" s="8" t="s">
        <v>282</v>
      </c>
      <c r="C19" s="8" t="s">
        <v>283</v>
      </c>
      <c r="D19" s="8" t="s">
        <v>284</v>
      </c>
      <c r="E19" s="9">
        <v>6.5</v>
      </c>
      <c r="F19" s="8" t="s">
        <v>285</v>
      </c>
      <c r="G19" s="18" t="s">
        <v>202</v>
      </c>
      <c r="H19" s="8" t="s">
        <v>112</v>
      </c>
      <c r="I19" s="9">
        <v>0.88</v>
      </c>
      <c r="J19" s="8" t="s">
        <v>203</v>
      </c>
      <c r="K19" s="9">
        <v>7</v>
      </c>
      <c r="L19" s="9">
        <v>1000</v>
      </c>
      <c r="M19" s="9">
        <v>40</v>
      </c>
      <c r="N19" s="9">
        <v>1.2</v>
      </c>
      <c r="O19" s="50">
        <f t="shared" si="0"/>
        <v>48</v>
      </c>
      <c r="P19" s="19">
        <v>45689</v>
      </c>
      <c r="Q19" s="8" t="s">
        <v>145</v>
      </c>
      <c r="R19" s="9">
        <v>117</v>
      </c>
      <c r="S19" s="18" t="s">
        <v>204</v>
      </c>
      <c r="T19" s="8" t="s">
        <v>308</v>
      </c>
      <c r="U19" s="8" t="s">
        <v>309</v>
      </c>
      <c r="V19" s="8" t="s">
        <v>310</v>
      </c>
      <c r="W19" s="8" t="s">
        <v>311</v>
      </c>
      <c r="X19" s="8" t="s">
        <v>343</v>
      </c>
      <c r="Y19" s="8" t="s">
        <v>313</v>
      </c>
      <c r="Z19" s="8" t="s">
        <v>287</v>
      </c>
    </row>
    <row r="20" spans="1:26" ht="15" customHeight="1">
      <c r="A20" s="6" t="s">
        <v>344</v>
      </c>
      <c r="B20" s="6" t="s">
        <v>282</v>
      </c>
      <c r="C20" s="6" t="s">
        <v>283</v>
      </c>
      <c r="D20" s="6" t="s">
        <v>284</v>
      </c>
      <c r="E20" s="7">
        <v>6.7</v>
      </c>
      <c r="F20" s="6" t="s">
        <v>285</v>
      </c>
      <c r="G20" s="16" t="s">
        <v>202</v>
      </c>
      <c r="H20" s="6" t="s">
        <v>90</v>
      </c>
      <c r="I20" s="7">
        <v>1</v>
      </c>
      <c r="J20" s="6" t="s">
        <v>203</v>
      </c>
      <c r="K20" s="7">
        <v>7</v>
      </c>
      <c r="L20" s="7">
        <v>1200</v>
      </c>
      <c r="M20" s="7">
        <v>42</v>
      </c>
      <c r="N20" s="7">
        <v>1.1000000000000001</v>
      </c>
      <c r="O20" s="50">
        <f t="shared" si="0"/>
        <v>46.2</v>
      </c>
      <c r="P20" s="17">
        <v>45717</v>
      </c>
      <c r="Q20" s="6" t="s">
        <v>145</v>
      </c>
      <c r="R20" s="7">
        <v>118</v>
      </c>
      <c r="S20" s="16" t="s">
        <v>204</v>
      </c>
      <c r="T20" s="6" t="s">
        <v>308</v>
      </c>
      <c r="U20" s="6" t="s">
        <v>309</v>
      </c>
      <c r="V20" s="6" t="s">
        <v>310</v>
      </c>
      <c r="W20" s="6" t="s">
        <v>311</v>
      </c>
      <c r="X20" s="6" t="s">
        <v>345</v>
      </c>
      <c r="Y20" s="6" t="s">
        <v>313</v>
      </c>
      <c r="Z20" s="6" t="s">
        <v>287</v>
      </c>
    </row>
    <row r="21" spans="1:26" ht="15" customHeight="1">
      <c r="A21" s="8" t="s">
        <v>346</v>
      </c>
      <c r="B21" s="8" t="s">
        <v>198</v>
      </c>
      <c r="C21" s="8" t="s">
        <v>199</v>
      </c>
      <c r="D21" s="8" t="s">
        <v>347</v>
      </c>
      <c r="E21" s="9">
        <v>9.5</v>
      </c>
      <c r="F21" s="8" t="s">
        <v>201</v>
      </c>
      <c r="G21" s="18" t="s">
        <v>202</v>
      </c>
      <c r="H21" s="8" t="s">
        <v>106</v>
      </c>
      <c r="I21" s="9">
        <v>1.1200000000000001</v>
      </c>
      <c r="J21" s="8" t="s">
        <v>348</v>
      </c>
      <c r="K21" s="9">
        <v>9</v>
      </c>
      <c r="L21" s="9">
        <v>25</v>
      </c>
      <c r="M21" s="9">
        <v>1600</v>
      </c>
      <c r="N21" s="9">
        <v>0.7</v>
      </c>
      <c r="O21" s="50">
        <f t="shared" si="0"/>
        <v>1120</v>
      </c>
      <c r="P21" s="19">
        <v>45809</v>
      </c>
      <c r="Q21" s="8" t="s">
        <v>129</v>
      </c>
      <c r="R21" s="9">
        <v>111</v>
      </c>
      <c r="S21" s="18" t="s">
        <v>303</v>
      </c>
      <c r="T21" s="8" t="s">
        <v>308</v>
      </c>
      <c r="U21" s="8" t="s">
        <v>349</v>
      </c>
      <c r="V21" s="8" t="s">
        <v>310</v>
      </c>
      <c r="W21" s="8" t="s">
        <v>311</v>
      </c>
      <c r="X21" s="8" t="s">
        <v>350</v>
      </c>
      <c r="Y21" s="8" t="s">
        <v>351</v>
      </c>
      <c r="Z21" s="8" t="s">
        <v>211</v>
      </c>
    </row>
    <row r="22" spans="1:26">
      <c r="O22" s="50">
        <f t="shared" si="0"/>
        <v>0</v>
      </c>
    </row>
    <row r="23" spans="1:26">
      <c r="O23" s="50">
        <f t="shared" si="0"/>
        <v>0</v>
      </c>
    </row>
    <row r="24" spans="1:26">
      <c r="O24" s="50">
        <f t="shared" si="0"/>
        <v>0</v>
      </c>
    </row>
    <row r="25" spans="1:26">
      <c r="O25" s="50">
        <f t="shared" si="0"/>
        <v>0</v>
      </c>
    </row>
    <row r="26" spans="1:26">
      <c r="O26" s="50">
        <f t="shared" si="0"/>
        <v>0</v>
      </c>
    </row>
    <row r="27" spans="1:26">
      <c r="O27" s="50">
        <f t="shared" si="0"/>
        <v>0</v>
      </c>
    </row>
    <row r="28" spans="1:26">
      <c r="O28" s="50">
        <f t="shared" si="0"/>
        <v>0</v>
      </c>
    </row>
    <row r="29" spans="1:26">
      <c r="O29" s="50">
        <f t="shared" si="0"/>
        <v>0</v>
      </c>
    </row>
    <row r="30" spans="1:26">
      <c r="O30" s="50">
        <f t="shared" si="0"/>
        <v>0</v>
      </c>
    </row>
    <row r="31" spans="1:26">
      <c r="O31" s="50">
        <f t="shared" si="0"/>
        <v>0</v>
      </c>
    </row>
    <row r="32" spans="1:26">
      <c r="O32" s="50">
        <f t="shared" si="0"/>
        <v>0</v>
      </c>
    </row>
    <row r="33" spans="15:15">
      <c r="O33" s="50">
        <f t="shared" si="0"/>
        <v>0</v>
      </c>
    </row>
    <row r="34" spans="15:15">
      <c r="O34" s="50">
        <f t="shared" si="0"/>
        <v>0</v>
      </c>
    </row>
    <row r="35" spans="15:15">
      <c r="O35" s="50">
        <f t="shared" si="0"/>
        <v>0</v>
      </c>
    </row>
    <row r="36" spans="15:15">
      <c r="O36" s="50">
        <f t="shared" si="0"/>
        <v>0</v>
      </c>
    </row>
    <row r="37" spans="15:15">
      <c r="O37" s="50">
        <f t="shared" si="0"/>
        <v>0</v>
      </c>
    </row>
    <row r="38" spans="15:15">
      <c r="O38" s="50">
        <f t="shared" si="0"/>
        <v>0</v>
      </c>
    </row>
    <row r="39" spans="15:15">
      <c r="O39" s="50">
        <f t="shared" si="0"/>
        <v>0</v>
      </c>
    </row>
    <row r="40" spans="15:15">
      <c r="O40" s="50">
        <f t="shared" si="0"/>
        <v>0</v>
      </c>
    </row>
    <row r="41" spans="15:15">
      <c r="O41" s="50">
        <f t="shared" si="0"/>
        <v>0</v>
      </c>
    </row>
    <row r="42" spans="15:15">
      <c r="O42" s="50">
        <f t="shared" si="0"/>
        <v>0</v>
      </c>
    </row>
    <row r="43" spans="15:15">
      <c r="O43" s="50">
        <f t="shared" si="0"/>
        <v>0</v>
      </c>
    </row>
    <row r="44" spans="15:15">
      <c r="O44" s="50">
        <f t="shared" si="0"/>
        <v>0</v>
      </c>
    </row>
    <row r="45" spans="15:15">
      <c r="O45" s="50">
        <f t="shared" si="0"/>
        <v>0</v>
      </c>
    </row>
    <row r="46" spans="15:15">
      <c r="O46" s="50">
        <f t="shared" si="0"/>
        <v>0</v>
      </c>
    </row>
    <row r="47" spans="15:15">
      <c r="O47" s="50">
        <f t="shared" si="0"/>
        <v>0</v>
      </c>
    </row>
    <row r="48" spans="15:15">
      <c r="O48" s="50">
        <f t="shared" si="0"/>
        <v>0</v>
      </c>
    </row>
    <row r="49" spans="15:15">
      <c r="O49" s="50">
        <f t="shared" si="0"/>
        <v>0</v>
      </c>
    </row>
    <row r="50" spans="15:15">
      <c r="O50" s="50">
        <f t="shared" si="0"/>
        <v>0</v>
      </c>
    </row>
    <row r="51" spans="15:15">
      <c r="O51" s="50">
        <f t="shared" si="0"/>
        <v>0</v>
      </c>
    </row>
    <row r="52" spans="15:15">
      <c r="O52" s="50">
        <f t="shared" si="0"/>
        <v>0</v>
      </c>
    </row>
    <row r="53" spans="15:15">
      <c r="O53" s="50">
        <f t="shared" si="0"/>
        <v>0</v>
      </c>
    </row>
    <row r="54" spans="15:15">
      <c r="O54" s="50">
        <f t="shared" si="0"/>
        <v>0</v>
      </c>
    </row>
    <row r="55" spans="15:15">
      <c r="O55" s="50">
        <f t="shared" si="0"/>
        <v>0</v>
      </c>
    </row>
    <row r="56" spans="15:15">
      <c r="O56" s="50">
        <f t="shared" si="0"/>
        <v>0</v>
      </c>
    </row>
    <row r="57" spans="15:15">
      <c r="O57" s="50">
        <f t="shared" si="0"/>
        <v>0</v>
      </c>
    </row>
    <row r="58" spans="15:15">
      <c r="O58" s="50">
        <f t="shared" si="0"/>
        <v>0</v>
      </c>
    </row>
    <row r="59" spans="15:15">
      <c r="O59" s="50">
        <f t="shared" si="0"/>
        <v>0</v>
      </c>
    </row>
    <row r="60" spans="15:15">
      <c r="O60" s="50">
        <f t="shared" si="0"/>
        <v>0</v>
      </c>
    </row>
    <row r="61" spans="15:15">
      <c r="O61" s="50">
        <f t="shared" si="0"/>
        <v>0</v>
      </c>
    </row>
    <row r="62" spans="15:15">
      <c r="O62" s="50">
        <f t="shared" si="0"/>
        <v>0</v>
      </c>
    </row>
    <row r="63" spans="15:15">
      <c r="O63" s="50">
        <f t="shared" si="0"/>
        <v>0</v>
      </c>
    </row>
    <row r="64" spans="15:15">
      <c r="O64" s="50">
        <f t="shared" si="0"/>
        <v>0</v>
      </c>
    </row>
    <row r="65" spans="15:15">
      <c r="O65" s="50">
        <f t="shared" si="0"/>
        <v>0</v>
      </c>
    </row>
    <row r="66" spans="15:15">
      <c r="O66" s="50">
        <f t="shared" si="0"/>
        <v>0</v>
      </c>
    </row>
    <row r="67" spans="15:15">
      <c r="O67" s="50">
        <f t="shared" si="0"/>
        <v>0</v>
      </c>
    </row>
    <row r="68" spans="15:15">
      <c r="O68" s="50">
        <f t="shared" ref="O68:O131" si="1">M68*N68</f>
        <v>0</v>
      </c>
    </row>
    <row r="69" spans="15:15">
      <c r="O69" s="50">
        <f t="shared" si="1"/>
        <v>0</v>
      </c>
    </row>
    <row r="70" spans="15:15">
      <c r="O70" s="50">
        <f t="shared" si="1"/>
        <v>0</v>
      </c>
    </row>
    <row r="71" spans="15:15">
      <c r="O71" s="50">
        <f t="shared" si="1"/>
        <v>0</v>
      </c>
    </row>
    <row r="72" spans="15:15">
      <c r="O72" s="50">
        <f t="shared" si="1"/>
        <v>0</v>
      </c>
    </row>
    <row r="73" spans="15:15">
      <c r="O73" s="50">
        <f t="shared" si="1"/>
        <v>0</v>
      </c>
    </row>
    <row r="74" spans="15:15">
      <c r="O74" s="50">
        <f t="shared" si="1"/>
        <v>0</v>
      </c>
    </row>
    <row r="75" spans="15:15">
      <c r="O75" s="50">
        <f t="shared" si="1"/>
        <v>0</v>
      </c>
    </row>
    <row r="76" spans="15:15">
      <c r="O76" s="50">
        <f t="shared" si="1"/>
        <v>0</v>
      </c>
    </row>
    <row r="77" spans="15:15">
      <c r="O77" s="50">
        <f t="shared" si="1"/>
        <v>0</v>
      </c>
    </row>
    <row r="78" spans="15:15">
      <c r="O78" s="50">
        <f t="shared" si="1"/>
        <v>0</v>
      </c>
    </row>
    <row r="79" spans="15:15">
      <c r="O79" s="50">
        <f t="shared" si="1"/>
        <v>0</v>
      </c>
    </row>
    <row r="80" spans="15:15">
      <c r="O80" s="50">
        <f t="shared" si="1"/>
        <v>0</v>
      </c>
    </row>
    <row r="81" spans="15:15">
      <c r="O81" s="50">
        <f t="shared" si="1"/>
        <v>0</v>
      </c>
    </row>
    <row r="82" spans="15:15">
      <c r="O82" s="50">
        <f t="shared" si="1"/>
        <v>0</v>
      </c>
    </row>
    <row r="83" spans="15:15">
      <c r="O83" s="50">
        <f t="shared" si="1"/>
        <v>0</v>
      </c>
    </row>
    <row r="84" spans="15:15">
      <c r="O84" s="50">
        <f t="shared" si="1"/>
        <v>0</v>
      </c>
    </row>
    <row r="85" spans="15:15">
      <c r="O85" s="50">
        <f t="shared" si="1"/>
        <v>0</v>
      </c>
    </row>
    <row r="86" spans="15:15">
      <c r="O86" s="50">
        <f t="shared" si="1"/>
        <v>0</v>
      </c>
    </row>
    <row r="87" spans="15:15">
      <c r="O87" s="50">
        <f t="shared" si="1"/>
        <v>0</v>
      </c>
    </row>
    <row r="88" spans="15:15">
      <c r="O88" s="50">
        <f t="shared" si="1"/>
        <v>0</v>
      </c>
    </row>
    <row r="89" spans="15:15">
      <c r="O89" s="50">
        <f t="shared" si="1"/>
        <v>0</v>
      </c>
    </row>
    <row r="90" spans="15:15">
      <c r="O90" s="50">
        <f t="shared" si="1"/>
        <v>0</v>
      </c>
    </row>
    <row r="91" spans="15:15">
      <c r="O91" s="50">
        <f t="shared" si="1"/>
        <v>0</v>
      </c>
    </row>
    <row r="92" spans="15:15">
      <c r="O92" s="50">
        <f t="shared" si="1"/>
        <v>0</v>
      </c>
    </row>
    <row r="93" spans="15:15">
      <c r="O93" s="50">
        <f t="shared" si="1"/>
        <v>0</v>
      </c>
    </row>
    <row r="94" spans="15:15">
      <c r="O94" s="50">
        <f t="shared" si="1"/>
        <v>0</v>
      </c>
    </row>
    <row r="95" spans="15:15">
      <c r="O95" s="50">
        <f t="shared" si="1"/>
        <v>0</v>
      </c>
    </row>
    <row r="96" spans="15:15">
      <c r="O96" s="50">
        <f t="shared" si="1"/>
        <v>0</v>
      </c>
    </row>
    <row r="97" spans="15:15">
      <c r="O97" s="50">
        <f t="shared" si="1"/>
        <v>0</v>
      </c>
    </row>
    <row r="98" spans="15:15">
      <c r="O98" s="50">
        <f t="shared" si="1"/>
        <v>0</v>
      </c>
    </row>
    <row r="99" spans="15:15">
      <c r="O99" s="50">
        <f t="shared" si="1"/>
        <v>0</v>
      </c>
    </row>
    <row r="100" spans="15:15">
      <c r="O100" s="50">
        <f t="shared" si="1"/>
        <v>0</v>
      </c>
    </row>
    <row r="101" spans="15:15">
      <c r="O101" s="50">
        <f t="shared" si="1"/>
        <v>0</v>
      </c>
    </row>
    <row r="102" spans="15:15">
      <c r="O102" s="50">
        <f t="shared" si="1"/>
        <v>0</v>
      </c>
    </row>
    <row r="103" spans="15:15">
      <c r="O103" s="50">
        <f t="shared" si="1"/>
        <v>0</v>
      </c>
    </row>
    <row r="104" spans="15:15">
      <c r="O104" s="50">
        <f t="shared" si="1"/>
        <v>0</v>
      </c>
    </row>
    <row r="105" spans="15:15">
      <c r="O105" s="50">
        <f t="shared" si="1"/>
        <v>0</v>
      </c>
    </row>
    <row r="106" spans="15:15">
      <c r="O106" s="50">
        <f t="shared" si="1"/>
        <v>0</v>
      </c>
    </row>
    <row r="107" spans="15:15">
      <c r="O107" s="50">
        <f t="shared" si="1"/>
        <v>0</v>
      </c>
    </row>
    <row r="108" spans="15:15">
      <c r="O108" s="50">
        <f t="shared" si="1"/>
        <v>0</v>
      </c>
    </row>
    <row r="109" spans="15:15">
      <c r="O109" s="50">
        <f t="shared" si="1"/>
        <v>0</v>
      </c>
    </row>
    <row r="110" spans="15:15">
      <c r="O110" s="50">
        <f t="shared" si="1"/>
        <v>0</v>
      </c>
    </row>
    <row r="111" spans="15:15">
      <c r="O111" s="50">
        <f t="shared" si="1"/>
        <v>0</v>
      </c>
    </row>
    <row r="112" spans="15:15">
      <c r="O112" s="50">
        <f t="shared" si="1"/>
        <v>0</v>
      </c>
    </row>
    <row r="113" spans="15:15">
      <c r="O113" s="50">
        <f t="shared" si="1"/>
        <v>0</v>
      </c>
    </row>
    <row r="114" spans="15:15">
      <c r="O114" s="50">
        <f t="shared" si="1"/>
        <v>0</v>
      </c>
    </row>
    <row r="115" spans="15:15">
      <c r="O115" s="50">
        <f t="shared" si="1"/>
        <v>0</v>
      </c>
    </row>
    <row r="116" spans="15:15">
      <c r="O116" s="50">
        <f t="shared" si="1"/>
        <v>0</v>
      </c>
    </row>
    <row r="117" spans="15:15">
      <c r="O117" s="50">
        <f t="shared" si="1"/>
        <v>0</v>
      </c>
    </row>
    <row r="118" spans="15:15">
      <c r="O118" s="50">
        <f t="shared" si="1"/>
        <v>0</v>
      </c>
    </row>
    <row r="119" spans="15:15">
      <c r="O119" s="50">
        <f t="shared" si="1"/>
        <v>0</v>
      </c>
    </row>
    <row r="120" spans="15:15">
      <c r="O120" s="50">
        <f t="shared" si="1"/>
        <v>0</v>
      </c>
    </row>
    <row r="121" spans="15:15">
      <c r="O121" s="50">
        <f t="shared" si="1"/>
        <v>0</v>
      </c>
    </row>
    <row r="122" spans="15:15">
      <c r="O122" s="50">
        <f t="shared" si="1"/>
        <v>0</v>
      </c>
    </row>
    <row r="123" spans="15:15">
      <c r="O123" s="50">
        <f t="shared" si="1"/>
        <v>0</v>
      </c>
    </row>
    <row r="124" spans="15:15">
      <c r="O124" s="50">
        <f t="shared" si="1"/>
        <v>0</v>
      </c>
    </row>
    <row r="125" spans="15:15">
      <c r="O125" s="50">
        <f t="shared" si="1"/>
        <v>0</v>
      </c>
    </row>
    <row r="126" spans="15:15">
      <c r="O126" s="50">
        <f t="shared" si="1"/>
        <v>0</v>
      </c>
    </row>
    <row r="127" spans="15:15">
      <c r="O127" s="50">
        <f t="shared" si="1"/>
        <v>0</v>
      </c>
    </row>
    <row r="128" spans="15:15">
      <c r="O128" s="50">
        <f t="shared" si="1"/>
        <v>0</v>
      </c>
    </row>
    <row r="129" spans="15:15">
      <c r="O129" s="50">
        <f t="shared" si="1"/>
        <v>0</v>
      </c>
    </row>
    <row r="130" spans="15:15">
      <c r="O130" s="50">
        <f t="shared" si="1"/>
        <v>0</v>
      </c>
    </row>
    <row r="131" spans="15:15">
      <c r="O131" s="50">
        <f t="shared" si="1"/>
        <v>0</v>
      </c>
    </row>
    <row r="132" spans="15:15">
      <c r="O132" s="50">
        <f t="shared" ref="O132:O195" si="2">M132*N132</f>
        <v>0</v>
      </c>
    </row>
    <row r="133" spans="15:15">
      <c r="O133" s="50">
        <f t="shared" si="2"/>
        <v>0</v>
      </c>
    </row>
    <row r="134" spans="15:15">
      <c r="O134" s="50">
        <f t="shared" si="2"/>
        <v>0</v>
      </c>
    </row>
    <row r="135" spans="15:15">
      <c r="O135" s="50">
        <f t="shared" si="2"/>
        <v>0</v>
      </c>
    </row>
    <row r="136" spans="15:15">
      <c r="O136" s="50">
        <f t="shared" si="2"/>
        <v>0</v>
      </c>
    </row>
    <row r="137" spans="15:15">
      <c r="O137" s="50">
        <f t="shared" si="2"/>
        <v>0</v>
      </c>
    </row>
    <row r="138" spans="15:15">
      <c r="O138" s="50">
        <f t="shared" si="2"/>
        <v>0</v>
      </c>
    </row>
    <row r="139" spans="15:15">
      <c r="O139" s="50">
        <f t="shared" si="2"/>
        <v>0</v>
      </c>
    </row>
    <row r="140" spans="15:15">
      <c r="O140" s="50">
        <f t="shared" si="2"/>
        <v>0</v>
      </c>
    </row>
    <row r="141" spans="15:15">
      <c r="O141" s="50">
        <f t="shared" si="2"/>
        <v>0</v>
      </c>
    </row>
    <row r="142" spans="15:15">
      <c r="O142" s="50">
        <f t="shared" si="2"/>
        <v>0</v>
      </c>
    </row>
    <row r="143" spans="15:15">
      <c r="O143" s="50">
        <f t="shared" si="2"/>
        <v>0</v>
      </c>
    </row>
    <row r="144" spans="15:15">
      <c r="O144" s="50">
        <f t="shared" si="2"/>
        <v>0</v>
      </c>
    </row>
    <row r="145" spans="15:15">
      <c r="O145" s="50">
        <f t="shared" si="2"/>
        <v>0</v>
      </c>
    </row>
    <row r="146" spans="15:15">
      <c r="O146" s="50">
        <f t="shared" si="2"/>
        <v>0</v>
      </c>
    </row>
    <row r="147" spans="15:15">
      <c r="O147" s="50">
        <f t="shared" si="2"/>
        <v>0</v>
      </c>
    </row>
    <row r="148" spans="15:15">
      <c r="O148" s="50">
        <f t="shared" si="2"/>
        <v>0</v>
      </c>
    </row>
    <row r="149" spans="15:15">
      <c r="O149" s="50">
        <f t="shared" si="2"/>
        <v>0</v>
      </c>
    </row>
    <row r="150" spans="15:15">
      <c r="O150" s="50">
        <f t="shared" si="2"/>
        <v>0</v>
      </c>
    </row>
    <row r="151" spans="15:15">
      <c r="O151" s="50">
        <f t="shared" si="2"/>
        <v>0</v>
      </c>
    </row>
    <row r="152" spans="15:15">
      <c r="O152" s="50">
        <f t="shared" si="2"/>
        <v>0</v>
      </c>
    </row>
    <row r="153" spans="15:15">
      <c r="O153" s="50">
        <f t="shared" si="2"/>
        <v>0</v>
      </c>
    </row>
    <row r="154" spans="15:15">
      <c r="O154" s="50">
        <f t="shared" si="2"/>
        <v>0</v>
      </c>
    </row>
    <row r="155" spans="15:15">
      <c r="O155" s="50">
        <f t="shared" si="2"/>
        <v>0</v>
      </c>
    </row>
    <row r="156" spans="15:15">
      <c r="O156" s="50">
        <f t="shared" si="2"/>
        <v>0</v>
      </c>
    </row>
    <row r="157" spans="15:15">
      <c r="O157" s="50">
        <f t="shared" si="2"/>
        <v>0</v>
      </c>
    </row>
    <row r="158" spans="15:15">
      <c r="O158" s="50">
        <f t="shared" si="2"/>
        <v>0</v>
      </c>
    </row>
    <row r="159" spans="15:15">
      <c r="O159" s="50">
        <f t="shared" si="2"/>
        <v>0</v>
      </c>
    </row>
    <row r="160" spans="15:15">
      <c r="O160" s="50">
        <f t="shared" si="2"/>
        <v>0</v>
      </c>
    </row>
    <row r="161" spans="15:15">
      <c r="O161" s="50">
        <f t="shared" si="2"/>
        <v>0</v>
      </c>
    </row>
    <row r="162" spans="15:15">
      <c r="O162" s="50">
        <f t="shared" si="2"/>
        <v>0</v>
      </c>
    </row>
    <row r="163" spans="15:15">
      <c r="O163" s="50">
        <f t="shared" si="2"/>
        <v>0</v>
      </c>
    </row>
    <row r="164" spans="15:15">
      <c r="O164" s="50">
        <f t="shared" si="2"/>
        <v>0</v>
      </c>
    </row>
    <row r="165" spans="15:15">
      <c r="O165" s="50">
        <f t="shared" si="2"/>
        <v>0</v>
      </c>
    </row>
    <row r="166" spans="15:15">
      <c r="O166" s="50">
        <f t="shared" si="2"/>
        <v>0</v>
      </c>
    </row>
    <row r="167" spans="15:15">
      <c r="O167" s="50">
        <f t="shared" si="2"/>
        <v>0</v>
      </c>
    </row>
    <row r="168" spans="15:15">
      <c r="O168" s="50">
        <f t="shared" si="2"/>
        <v>0</v>
      </c>
    </row>
    <row r="169" spans="15:15">
      <c r="O169" s="50">
        <f t="shared" si="2"/>
        <v>0</v>
      </c>
    </row>
    <row r="170" spans="15:15">
      <c r="O170" s="50">
        <f t="shared" si="2"/>
        <v>0</v>
      </c>
    </row>
    <row r="171" spans="15:15">
      <c r="O171" s="50">
        <f t="shared" si="2"/>
        <v>0</v>
      </c>
    </row>
    <row r="172" spans="15:15">
      <c r="O172" s="50">
        <f t="shared" si="2"/>
        <v>0</v>
      </c>
    </row>
    <row r="173" spans="15:15">
      <c r="O173" s="50">
        <f t="shared" si="2"/>
        <v>0</v>
      </c>
    </row>
    <row r="174" spans="15:15">
      <c r="O174" s="50">
        <f t="shared" si="2"/>
        <v>0</v>
      </c>
    </row>
    <row r="175" spans="15:15">
      <c r="O175" s="50">
        <f t="shared" si="2"/>
        <v>0</v>
      </c>
    </row>
    <row r="176" spans="15:15">
      <c r="O176" s="50">
        <f t="shared" si="2"/>
        <v>0</v>
      </c>
    </row>
    <row r="177" spans="15:15">
      <c r="O177" s="50">
        <f t="shared" si="2"/>
        <v>0</v>
      </c>
    </row>
    <row r="178" spans="15:15">
      <c r="O178" s="50">
        <f t="shared" si="2"/>
        <v>0</v>
      </c>
    </row>
    <row r="179" spans="15:15">
      <c r="O179" s="50">
        <f t="shared" si="2"/>
        <v>0</v>
      </c>
    </row>
    <row r="180" spans="15:15">
      <c r="O180" s="50">
        <f t="shared" si="2"/>
        <v>0</v>
      </c>
    </row>
    <row r="181" spans="15:15">
      <c r="O181" s="50">
        <f t="shared" si="2"/>
        <v>0</v>
      </c>
    </row>
    <row r="182" spans="15:15">
      <c r="O182" s="50">
        <f t="shared" si="2"/>
        <v>0</v>
      </c>
    </row>
    <row r="183" spans="15:15">
      <c r="O183" s="50">
        <f t="shared" si="2"/>
        <v>0</v>
      </c>
    </row>
    <row r="184" spans="15:15">
      <c r="O184" s="50">
        <f t="shared" si="2"/>
        <v>0</v>
      </c>
    </row>
    <row r="185" spans="15:15">
      <c r="O185" s="50">
        <f t="shared" si="2"/>
        <v>0</v>
      </c>
    </row>
    <row r="186" spans="15:15">
      <c r="O186" s="50">
        <f t="shared" si="2"/>
        <v>0</v>
      </c>
    </row>
    <row r="187" spans="15:15">
      <c r="O187" s="50">
        <f t="shared" si="2"/>
        <v>0</v>
      </c>
    </row>
    <row r="188" spans="15:15">
      <c r="O188" s="50">
        <f t="shared" si="2"/>
        <v>0</v>
      </c>
    </row>
    <row r="189" spans="15:15">
      <c r="O189" s="50">
        <f t="shared" si="2"/>
        <v>0</v>
      </c>
    </row>
    <row r="190" spans="15:15">
      <c r="O190" s="50">
        <f t="shared" si="2"/>
        <v>0</v>
      </c>
    </row>
    <row r="191" spans="15:15">
      <c r="O191" s="50">
        <f t="shared" si="2"/>
        <v>0</v>
      </c>
    </row>
    <row r="192" spans="15:15">
      <c r="O192" s="50">
        <f t="shared" si="2"/>
        <v>0</v>
      </c>
    </row>
    <row r="193" spans="15:15">
      <c r="O193" s="50">
        <f t="shared" si="2"/>
        <v>0</v>
      </c>
    </row>
    <row r="194" spans="15:15">
      <c r="O194" s="50">
        <f t="shared" si="2"/>
        <v>0</v>
      </c>
    </row>
    <row r="195" spans="15:15">
      <c r="O195" s="50">
        <f t="shared" si="2"/>
        <v>0</v>
      </c>
    </row>
    <row r="196" spans="15:15">
      <c r="O196" s="50">
        <f t="shared" ref="O196:O259" si="3">M196*N196</f>
        <v>0</v>
      </c>
    </row>
    <row r="197" spans="15:15">
      <c r="O197" s="50">
        <f t="shared" si="3"/>
        <v>0</v>
      </c>
    </row>
    <row r="198" spans="15:15">
      <c r="O198" s="50">
        <f t="shared" si="3"/>
        <v>0</v>
      </c>
    </row>
    <row r="199" spans="15:15">
      <c r="O199" s="50">
        <f t="shared" si="3"/>
        <v>0</v>
      </c>
    </row>
    <row r="200" spans="15:15">
      <c r="O200" s="50">
        <f t="shared" si="3"/>
        <v>0</v>
      </c>
    </row>
    <row r="201" spans="15:15">
      <c r="O201" s="50">
        <f t="shared" si="3"/>
        <v>0</v>
      </c>
    </row>
    <row r="202" spans="15:15">
      <c r="O202" s="50">
        <f t="shared" si="3"/>
        <v>0</v>
      </c>
    </row>
    <row r="203" spans="15:15">
      <c r="O203" s="50">
        <f t="shared" si="3"/>
        <v>0</v>
      </c>
    </row>
    <row r="204" spans="15:15">
      <c r="O204" s="50">
        <f t="shared" si="3"/>
        <v>0</v>
      </c>
    </row>
    <row r="205" spans="15:15">
      <c r="O205" s="50">
        <f t="shared" si="3"/>
        <v>0</v>
      </c>
    </row>
    <row r="206" spans="15:15">
      <c r="O206" s="50">
        <f t="shared" si="3"/>
        <v>0</v>
      </c>
    </row>
    <row r="207" spans="15:15">
      <c r="O207" s="50">
        <f t="shared" si="3"/>
        <v>0</v>
      </c>
    </row>
    <row r="208" spans="15:15">
      <c r="O208" s="50">
        <f t="shared" si="3"/>
        <v>0</v>
      </c>
    </row>
    <row r="209" spans="15:15">
      <c r="O209" s="50">
        <f t="shared" si="3"/>
        <v>0</v>
      </c>
    </row>
    <row r="210" spans="15:15">
      <c r="O210" s="50">
        <f t="shared" si="3"/>
        <v>0</v>
      </c>
    </row>
    <row r="211" spans="15:15">
      <c r="O211" s="50">
        <f t="shared" si="3"/>
        <v>0</v>
      </c>
    </row>
    <row r="212" spans="15:15">
      <c r="O212" s="50">
        <f t="shared" si="3"/>
        <v>0</v>
      </c>
    </row>
    <row r="213" spans="15:15">
      <c r="O213" s="50">
        <f t="shared" si="3"/>
        <v>0</v>
      </c>
    </row>
    <row r="214" spans="15:15">
      <c r="O214" s="50">
        <f t="shared" si="3"/>
        <v>0</v>
      </c>
    </row>
    <row r="215" spans="15:15">
      <c r="O215" s="50">
        <f t="shared" si="3"/>
        <v>0</v>
      </c>
    </row>
    <row r="216" spans="15:15">
      <c r="O216" s="50">
        <f t="shared" si="3"/>
        <v>0</v>
      </c>
    </row>
    <row r="217" spans="15:15">
      <c r="O217" s="50">
        <f t="shared" si="3"/>
        <v>0</v>
      </c>
    </row>
    <row r="218" spans="15:15">
      <c r="O218" s="50">
        <f t="shared" si="3"/>
        <v>0</v>
      </c>
    </row>
    <row r="219" spans="15:15">
      <c r="O219" s="50">
        <f t="shared" si="3"/>
        <v>0</v>
      </c>
    </row>
    <row r="220" spans="15:15">
      <c r="O220" s="50">
        <f t="shared" si="3"/>
        <v>0</v>
      </c>
    </row>
    <row r="221" spans="15:15">
      <c r="O221" s="50">
        <f t="shared" si="3"/>
        <v>0</v>
      </c>
    </row>
    <row r="222" spans="15:15">
      <c r="O222" s="50">
        <f t="shared" si="3"/>
        <v>0</v>
      </c>
    </row>
    <row r="223" spans="15:15">
      <c r="O223" s="50">
        <f t="shared" si="3"/>
        <v>0</v>
      </c>
    </row>
    <row r="224" spans="15:15">
      <c r="O224" s="50">
        <f t="shared" si="3"/>
        <v>0</v>
      </c>
    </row>
    <row r="225" spans="15:15">
      <c r="O225" s="50">
        <f t="shared" si="3"/>
        <v>0</v>
      </c>
    </row>
    <row r="226" spans="15:15">
      <c r="O226" s="50">
        <f t="shared" si="3"/>
        <v>0</v>
      </c>
    </row>
    <row r="227" spans="15:15">
      <c r="O227" s="50">
        <f t="shared" si="3"/>
        <v>0</v>
      </c>
    </row>
    <row r="228" spans="15:15">
      <c r="O228" s="50">
        <f t="shared" si="3"/>
        <v>0</v>
      </c>
    </row>
    <row r="229" spans="15:15">
      <c r="O229" s="50">
        <f t="shared" si="3"/>
        <v>0</v>
      </c>
    </row>
    <row r="230" spans="15:15">
      <c r="O230" s="50">
        <f t="shared" si="3"/>
        <v>0</v>
      </c>
    </row>
    <row r="231" spans="15:15">
      <c r="O231" s="50">
        <f t="shared" si="3"/>
        <v>0</v>
      </c>
    </row>
    <row r="232" spans="15:15">
      <c r="O232" s="50">
        <f t="shared" si="3"/>
        <v>0</v>
      </c>
    </row>
    <row r="233" spans="15:15">
      <c r="O233" s="50">
        <f t="shared" si="3"/>
        <v>0</v>
      </c>
    </row>
    <row r="234" spans="15:15">
      <c r="O234" s="50">
        <f t="shared" si="3"/>
        <v>0</v>
      </c>
    </row>
    <row r="235" spans="15:15">
      <c r="O235" s="50">
        <f t="shared" si="3"/>
        <v>0</v>
      </c>
    </row>
    <row r="236" spans="15:15">
      <c r="O236" s="50">
        <f t="shared" si="3"/>
        <v>0</v>
      </c>
    </row>
    <row r="237" spans="15:15">
      <c r="O237" s="50">
        <f t="shared" si="3"/>
        <v>0</v>
      </c>
    </row>
    <row r="238" spans="15:15">
      <c r="O238" s="50">
        <f t="shared" si="3"/>
        <v>0</v>
      </c>
    </row>
    <row r="239" spans="15:15">
      <c r="O239" s="50">
        <f t="shared" si="3"/>
        <v>0</v>
      </c>
    </row>
    <row r="240" spans="15:15">
      <c r="O240" s="50">
        <f t="shared" si="3"/>
        <v>0</v>
      </c>
    </row>
    <row r="241" spans="15:15">
      <c r="O241" s="50">
        <f t="shared" si="3"/>
        <v>0</v>
      </c>
    </row>
    <row r="242" spans="15:15">
      <c r="O242" s="50">
        <f t="shared" si="3"/>
        <v>0</v>
      </c>
    </row>
    <row r="243" spans="15:15">
      <c r="O243" s="50">
        <f t="shared" si="3"/>
        <v>0</v>
      </c>
    </row>
    <row r="244" spans="15:15">
      <c r="O244" s="50">
        <f t="shared" si="3"/>
        <v>0</v>
      </c>
    </row>
    <row r="245" spans="15:15">
      <c r="O245" s="50">
        <f t="shared" si="3"/>
        <v>0</v>
      </c>
    </row>
    <row r="246" spans="15:15">
      <c r="O246" s="50">
        <f t="shared" si="3"/>
        <v>0</v>
      </c>
    </row>
    <row r="247" spans="15:15">
      <c r="O247" s="50">
        <f t="shared" si="3"/>
        <v>0</v>
      </c>
    </row>
    <row r="248" spans="15:15">
      <c r="O248" s="50">
        <f t="shared" si="3"/>
        <v>0</v>
      </c>
    </row>
    <row r="249" spans="15:15">
      <c r="O249" s="50">
        <f t="shared" si="3"/>
        <v>0</v>
      </c>
    </row>
    <row r="250" spans="15:15">
      <c r="O250" s="50">
        <f t="shared" si="3"/>
        <v>0</v>
      </c>
    </row>
    <row r="251" spans="15:15">
      <c r="O251" s="50">
        <f t="shared" si="3"/>
        <v>0</v>
      </c>
    </row>
    <row r="252" spans="15:15">
      <c r="O252" s="50">
        <f t="shared" si="3"/>
        <v>0</v>
      </c>
    </row>
    <row r="253" spans="15:15">
      <c r="O253" s="50">
        <f t="shared" si="3"/>
        <v>0</v>
      </c>
    </row>
    <row r="254" spans="15:15">
      <c r="O254" s="50">
        <f t="shared" si="3"/>
        <v>0</v>
      </c>
    </row>
    <row r="255" spans="15:15">
      <c r="O255" s="50">
        <f t="shared" si="3"/>
        <v>0</v>
      </c>
    </row>
    <row r="256" spans="15:15">
      <c r="O256" s="50">
        <f t="shared" si="3"/>
        <v>0</v>
      </c>
    </row>
    <row r="257" spans="15:15">
      <c r="O257" s="50">
        <f t="shared" si="3"/>
        <v>0</v>
      </c>
    </row>
    <row r="258" spans="15:15">
      <c r="O258" s="50">
        <f t="shared" si="3"/>
        <v>0</v>
      </c>
    </row>
    <row r="259" spans="15:15">
      <c r="O259" s="50">
        <f t="shared" si="3"/>
        <v>0</v>
      </c>
    </row>
    <row r="260" spans="15:15">
      <c r="O260" s="50">
        <f t="shared" ref="O260:O323" si="4">M260*N260</f>
        <v>0</v>
      </c>
    </row>
    <row r="261" spans="15:15">
      <c r="O261" s="50">
        <f t="shared" si="4"/>
        <v>0</v>
      </c>
    </row>
    <row r="262" spans="15:15">
      <c r="O262" s="50">
        <f t="shared" si="4"/>
        <v>0</v>
      </c>
    </row>
    <row r="263" spans="15:15">
      <c r="O263" s="50">
        <f t="shared" si="4"/>
        <v>0</v>
      </c>
    </row>
    <row r="264" spans="15:15">
      <c r="O264" s="50">
        <f t="shared" si="4"/>
        <v>0</v>
      </c>
    </row>
    <row r="265" spans="15:15">
      <c r="O265" s="50">
        <f t="shared" si="4"/>
        <v>0</v>
      </c>
    </row>
    <row r="266" spans="15:15">
      <c r="O266" s="50">
        <f t="shared" si="4"/>
        <v>0</v>
      </c>
    </row>
    <row r="267" spans="15:15">
      <c r="O267" s="50">
        <f t="shared" si="4"/>
        <v>0</v>
      </c>
    </row>
    <row r="268" spans="15:15">
      <c r="O268" s="50">
        <f t="shared" si="4"/>
        <v>0</v>
      </c>
    </row>
    <row r="269" spans="15:15">
      <c r="O269" s="50">
        <f t="shared" si="4"/>
        <v>0</v>
      </c>
    </row>
    <row r="270" spans="15:15">
      <c r="O270" s="50">
        <f t="shared" si="4"/>
        <v>0</v>
      </c>
    </row>
    <row r="271" spans="15:15">
      <c r="O271" s="50">
        <f t="shared" si="4"/>
        <v>0</v>
      </c>
    </row>
    <row r="272" spans="15:15">
      <c r="O272" s="50">
        <f t="shared" si="4"/>
        <v>0</v>
      </c>
    </row>
    <row r="273" spans="15:15">
      <c r="O273" s="50">
        <f t="shared" si="4"/>
        <v>0</v>
      </c>
    </row>
    <row r="274" spans="15:15">
      <c r="O274" s="50">
        <f t="shared" si="4"/>
        <v>0</v>
      </c>
    </row>
    <row r="275" spans="15:15">
      <c r="O275" s="50">
        <f t="shared" si="4"/>
        <v>0</v>
      </c>
    </row>
    <row r="276" spans="15:15">
      <c r="O276" s="50">
        <f t="shared" si="4"/>
        <v>0</v>
      </c>
    </row>
    <row r="277" spans="15:15">
      <c r="O277" s="50">
        <f t="shared" si="4"/>
        <v>0</v>
      </c>
    </row>
    <row r="278" spans="15:15">
      <c r="O278" s="50">
        <f t="shared" si="4"/>
        <v>0</v>
      </c>
    </row>
    <row r="279" spans="15:15">
      <c r="O279" s="50">
        <f t="shared" si="4"/>
        <v>0</v>
      </c>
    </row>
    <row r="280" spans="15:15">
      <c r="O280" s="50">
        <f t="shared" si="4"/>
        <v>0</v>
      </c>
    </row>
    <row r="281" spans="15:15">
      <c r="O281" s="50">
        <f t="shared" si="4"/>
        <v>0</v>
      </c>
    </row>
    <row r="282" spans="15:15">
      <c r="O282" s="50">
        <f t="shared" si="4"/>
        <v>0</v>
      </c>
    </row>
    <row r="283" spans="15:15">
      <c r="O283" s="50">
        <f t="shared" si="4"/>
        <v>0</v>
      </c>
    </row>
    <row r="284" spans="15:15">
      <c r="O284" s="50">
        <f t="shared" si="4"/>
        <v>0</v>
      </c>
    </row>
    <row r="285" spans="15:15">
      <c r="O285" s="50">
        <f t="shared" si="4"/>
        <v>0</v>
      </c>
    </row>
    <row r="286" spans="15:15">
      <c r="O286" s="50">
        <f t="shared" si="4"/>
        <v>0</v>
      </c>
    </row>
    <row r="287" spans="15:15">
      <c r="O287" s="50">
        <f t="shared" si="4"/>
        <v>0</v>
      </c>
    </row>
    <row r="288" spans="15:15">
      <c r="O288" s="50">
        <f t="shared" si="4"/>
        <v>0</v>
      </c>
    </row>
    <row r="289" spans="15:15">
      <c r="O289" s="50">
        <f t="shared" si="4"/>
        <v>0</v>
      </c>
    </row>
    <row r="290" spans="15:15">
      <c r="O290" s="50">
        <f t="shared" si="4"/>
        <v>0</v>
      </c>
    </row>
    <row r="291" spans="15:15">
      <c r="O291" s="50">
        <f t="shared" si="4"/>
        <v>0</v>
      </c>
    </row>
    <row r="292" spans="15:15">
      <c r="O292" s="50">
        <f t="shared" si="4"/>
        <v>0</v>
      </c>
    </row>
    <row r="293" spans="15:15">
      <c r="O293" s="50">
        <f t="shared" si="4"/>
        <v>0</v>
      </c>
    </row>
    <row r="294" spans="15:15">
      <c r="O294" s="50">
        <f t="shared" si="4"/>
        <v>0</v>
      </c>
    </row>
    <row r="295" spans="15:15">
      <c r="O295" s="50">
        <f t="shared" si="4"/>
        <v>0</v>
      </c>
    </row>
    <row r="296" spans="15:15">
      <c r="O296" s="50">
        <f t="shared" si="4"/>
        <v>0</v>
      </c>
    </row>
    <row r="297" spans="15:15">
      <c r="O297" s="50">
        <f t="shared" si="4"/>
        <v>0</v>
      </c>
    </row>
    <row r="298" spans="15:15">
      <c r="O298" s="50">
        <f t="shared" si="4"/>
        <v>0</v>
      </c>
    </row>
    <row r="299" spans="15:15">
      <c r="O299" s="50">
        <f t="shared" si="4"/>
        <v>0</v>
      </c>
    </row>
    <row r="300" spans="15:15">
      <c r="O300" s="50">
        <f t="shared" si="4"/>
        <v>0</v>
      </c>
    </row>
    <row r="301" spans="15:15">
      <c r="O301" s="50">
        <f t="shared" si="4"/>
        <v>0</v>
      </c>
    </row>
    <row r="302" spans="15:15">
      <c r="O302" s="50">
        <f t="shared" si="4"/>
        <v>0</v>
      </c>
    </row>
    <row r="303" spans="15:15">
      <c r="O303" s="50">
        <f t="shared" si="4"/>
        <v>0</v>
      </c>
    </row>
    <row r="304" spans="15:15">
      <c r="O304" s="50">
        <f t="shared" si="4"/>
        <v>0</v>
      </c>
    </row>
    <row r="305" spans="15:15">
      <c r="O305" s="50">
        <f t="shared" si="4"/>
        <v>0</v>
      </c>
    </row>
    <row r="306" spans="15:15">
      <c r="O306" s="50">
        <f t="shared" si="4"/>
        <v>0</v>
      </c>
    </row>
    <row r="307" spans="15:15">
      <c r="O307" s="50">
        <f t="shared" si="4"/>
        <v>0</v>
      </c>
    </row>
    <row r="308" spans="15:15">
      <c r="O308" s="50">
        <f t="shared" si="4"/>
        <v>0</v>
      </c>
    </row>
    <row r="309" spans="15:15">
      <c r="O309" s="50">
        <f t="shared" si="4"/>
        <v>0</v>
      </c>
    </row>
    <row r="310" spans="15:15">
      <c r="O310" s="50">
        <f t="shared" si="4"/>
        <v>0</v>
      </c>
    </row>
    <row r="311" spans="15:15">
      <c r="O311" s="50">
        <f t="shared" si="4"/>
        <v>0</v>
      </c>
    </row>
    <row r="312" spans="15:15">
      <c r="O312" s="50">
        <f t="shared" si="4"/>
        <v>0</v>
      </c>
    </row>
    <row r="313" spans="15:15">
      <c r="O313" s="50">
        <f t="shared" si="4"/>
        <v>0</v>
      </c>
    </row>
    <row r="314" spans="15:15">
      <c r="O314" s="50">
        <f t="shared" si="4"/>
        <v>0</v>
      </c>
    </row>
    <row r="315" spans="15:15">
      <c r="O315" s="50">
        <f t="shared" si="4"/>
        <v>0</v>
      </c>
    </row>
    <row r="316" spans="15:15">
      <c r="O316" s="50">
        <f t="shared" si="4"/>
        <v>0</v>
      </c>
    </row>
    <row r="317" spans="15:15">
      <c r="O317" s="50">
        <f t="shared" si="4"/>
        <v>0</v>
      </c>
    </row>
    <row r="318" spans="15:15">
      <c r="O318" s="50">
        <f t="shared" si="4"/>
        <v>0</v>
      </c>
    </row>
    <row r="319" spans="15:15">
      <c r="O319" s="50">
        <f t="shared" si="4"/>
        <v>0</v>
      </c>
    </row>
    <row r="320" spans="15:15">
      <c r="O320" s="50">
        <f t="shared" si="4"/>
        <v>0</v>
      </c>
    </row>
    <row r="321" spans="15:15">
      <c r="O321" s="50">
        <f t="shared" si="4"/>
        <v>0</v>
      </c>
    </row>
    <row r="322" spans="15:15">
      <c r="O322" s="50">
        <f t="shared" si="4"/>
        <v>0</v>
      </c>
    </row>
    <row r="323" spans="15:15">
      <c r="O323" s="50">
        <f t="shared" si="4"/>
        <v>0</v>
      </c>
    </row>
    <row r="324" spans="15:15">
      <c r="O324" s="50">
        <f t="shared" ref="O324:O387" si="5">M324*N324</f>
        <v>0</v>
      </c>
    </row>
    <row r="325" spans="15:15">
      <c r="O325" s="50">
        <f t="shared" si="5"/>
        <v>0</v>
      </c>
    </row>
    <row r="326" spans="15:15">
      <c r="O326" s="50">
        <f t="shared" si="5"/>
        <v>0</v>
      </c>
    </row>
    <row r="327" spans="15:15">
      <c r="O327" s="50">
        <f t="shared" si="5"/>
        <v>0</v>
      </c>
    </row>
    <row r="328" spans="15:15">
      <c r="O328" s="50">
        <f t="shared" si="5"/>
        <v>0</v>
      </c>
    </row>
    <row r="329" spans="15:15">
      <c r="O329" s="50">
        <f t="shared" si="5"/>
        <v>0</v>
      </c>
    </row>
    <row r="330" spans="15:15">
      <c r="O330" s="50">
        <f t="shared" si="5"/>
        <v>0</v>
      </c>
    </row>
    <row r="331" spans="15:15">
      <c r="O331" s="50">
        <f t="shared" si="5"/>
        <v>0</v>
      </c>
    </row>
    <row r="332" spans="15:15">
      <c r="O332" s="50">
        <f t="shared" si="5"/>
        <v>0</v>
      </c>
    </row>
    <row r="333" spans="15:15">
      <c r="O333" s="50">
        <f t="shared" si="5"/>
        <v>0</v>
      </c>
    </row>
    <row r="334" spans="15:15">
      <c r="O334" s="50">
        <f t="shared" si="5"/>
        <v>0</v>
      </c>
    </row>
    <row r="335" spans="15:15">
      <c r="O335" s="50">
        <f t="shared" si="5"/>
        <v>0</v>
      </c>
    </row>
    <row r="336" spans="15:15">
      <c r="O336" s="50">
        <f t="shared" si="5"/>
        <v>0</v>
      </c>
    </row>
    <row r="337" spans="15:15">
      <c r="O337" s="50">
        <f t="shared" si="5"/>
        <v>0</v>
      </c>
    </row>
    <row r="338" spans="15:15">
      <c r="O338" s="50">
        <f t="shared" si="5"/>
        <v>0</v>
      </c>
    </row>
    <row r="339" spans="15:15">
      <c r="O339" s="50">
        <f t="shared" si="5"/>
        <v>0</v>
      </c>
    </row>
    <row r="340" spans="15:15">
      <c r="O340" s="50">
        <f t="shared" si="5"/>
        <v>0</v>
      </c>
    </row>
    <row r="341" spans="15:15">
      <c r="O341" s="50">
        <f t="shared" si="5"/>
        <v>0</v>
      </c>
    </row>
    <row r="342" spans="15:15">
      <c r="O342" s="50">
        <f t="shared" si="5"/>
        <v>0</v>
      </c>
    </row>
    <row r="343" spans="15:15">
      <c r="O343" s="50">
        <f t="shared" si="5"/>
        <v>0</v>
      </c>
    </row>
    <row r="344" spans="15:15">
      <c r="O344" s="50">
        <f t="shared" si="5"/>
        <v>0</v>
      </c>
    </row>
    <row r="345" spans="15:15">
      <c r="O345" s="50">
        <f t="shared" si="5"/>
        <v>0</v>
      </c>
    </row>
    <row r="346" spans="15:15">
      <c r="O346" s="50">
        <f t="shared" si="5"/>
        <v>0</v>
      </c>
    </row>
    <row r="347" spans="15:15">
      <c r="O347" s="50">
        <f t="shared" si="5"/>
        <v>0</v>
      </c>
    </row>
    <row r="348" spans="15:15">
      <c r="O348" s="50">
        <f t="shared" si="5"/>
        <v>0</v>
      </c>
    </row>
    <row r="349" spans="15:15">
      <c r="O349" s="50">
        <f t="shared" si="5"/>
        <v>0</v>
      </c>
    </row>
    <row r="350" spans="15:15">
      <c r="O350" s="50">
        <f t="shared" si="5"/>
        <v>0</v>
      </c>
    </row>
    <row r="351" spans="15:15">
      <c r="O351" s="50">
        <f t="shared" si="5"/>
        <v>0</v>
      </c>
    </row>
    <row r="352" spans="15:15">
      <c r="O352" s="50">
        <f t="shared" si="5"/>
        <v>0</v>
      </c>
    </row>
    <row r="353" spans="15:15">
      <c r="O353" s="50">
        <f t="shared" si="5"/>
        <v>0</v>
      </c>
    </row>
    <row r="354" spans="15:15">
      <c r="O354" s="50">
        <f t="shared" si="5"/>
        <v>0</v>
      </c>
    </row>
    <row r="355" spans="15:15">
      <c r="O355" s="50">
        <f t="shared" si="5"/>
        <v>0</v>
      </c>
    </row>
    <row r="356" spans="15:15">
      <c r="O356" s="50">
        <f t="shared" si="5"/>
        <v>0</v>
      </c>
    </row>
    <row r="357" spans="15:15">
      <c r="O357" s="50">
        <f t="shared" si="5"/>
        <v>0</v>
      </c>
    </row>
    <row r="358" spans="15:15">
      <c r="O358" s="50">
        <f t="shared" si="5"/>
        <v>0</v>
      </c>
    </row>
    <row r="359" spans="15:15">
      <c r="O359" s="50">
        <f t="shared" si="5"/>
        <v>0</v>
      </c>
    </row>
    <row r="360" spans="15:15">
      <c r="O360" s="50">
        <f t="shared" si="5"/>
        <v>0</v>
      </c>
    </row>
    <row r="361" spans="15:15">
      <c r="O361" s="50">
        <f t="shared" si="5"/>
        <v>0</v>
      </c>
    </row>
    <row r="362" spans="15:15">
      <c r="O362" s="50">
        <f t="shared" si="5"/>
        <v>0</v>
      </c>
    </row>
    <row r="363" spans="15:15">
      <c r="O363" s="50">
        <f t="shared" si="5"/>
        <v>0</v>
      </c>
    </row>
    <row r="364" spans="15:15">
      <c r="O364" s="50">
        <f t="shared" si="5"/>
        <v>0</v>
      </c>
    </row>
    <row r="365" spans="15:15">
      <c r="O365" s="50">
        <f t="shared" si="5"/>
        <v>0</v>
      </c>
    </row>
    <row r="366" spans="15:15">
      <c r="O366" s="50">
        <f t="shared" si="5"/>
        <v>0</v>
      </c>
    </row>
    <row r="367" spans="15:15">
      <c r="O367" s="50">
        <f t="shared" si="5"/>
        <v>0</v>
      </c>
    </row>
    <row r="368" spans="15:15">
      <c r="O368" s="50">
        <f t="shared" si="5"/>
        <v>0</v>
      </c>
    </row>
    <row r="369" spans="15:15">
      <c r="O369" s="50">
        <f t="shared" si="5"/>
        <v>0</v>
      </c>
    </row>
    <row r="370" spans="15:15">
      <c r="O370" s="50">
        <f t="shared" si="5"/>
        <v>0</v>
      </c>
    </row>
    <row r="371" spans="15:15">
      <c r="O371" s="50">
        <f t="shared" si="5"/>
        <v>0</v>
      </c>
    </row>
    <row r="372" spans="15:15">
      <c r="O372" s="50">
        <f t="shared" si="5"/>
        <v>0</v>
      </c>
    </row>
    <row r="373" spans="15:15">
      <c r="O373" s="50">
        <f t="shared" si="5"/>
        <v>0</v>
      </c>
    </row>
    <row r="374" spans="15:15">
      <c r="O374" s="50">
        <f t="shared" si="5"/>
        <v>0</v>
      </c>
    </row>
    <row r="375" spans="15:15">
      <c r="O375" s="50">
        <f t="shared" si="5"/>
        <v>0</v>
      </c>
    </row>
    <row r="376" spans="15:15">
      <c r="O376" s="50">
        <f t="shared" si="5"/>
        <v>0</v>
      </c>
    </row>
    <row r="377" spans="15:15">
      <c r="O377" s="50">
        <f t="shared" si="5"/>
        <v>0</v>
      </c>
    </row>
    <row r="378" spans="15:15">
      <c r="O378" s="50">
        <f t="shared" si="5"/>
        <v>0</v>
      </c>
    </row>
    <row r="379" spans="15:15">
      <c r="O379" s="50">
        <f t="shared" si="5"/>
        <v>0</v>
      </c>
    </row>
    <row r="380" spans="15:15">
      <c r="O380" s="50">
        <f t="shared" si="5"/>
        <v>0</v>
      </c>
    </row>
    <row r="381" spans="15:15">
      <c r="O381" s="50">
        <f t="shared" si="5"/>
        <v>0</v>
      </c>
    </row>
    <row r="382" spans="15:15">
      <c r="O382" s="50">
        <f t="shared" si="5"/>
        <v>0</v>
      </c>
    </row>
    <row r="383" spans="15:15">
      <c r="O383" s="50">
        <f t="shared" si="5"/>
        <v>0</v>
      </c>
    </row>
    <row r="384" spans="15:15">
      <c r="O384" s="50">
        <f t="shared" si="5"/>
        <v>0</v>
      </c>
    </row>
    <row r="385" spans="15:15">
      <c r="O385" s="50">
        <f t="shared" si="5"/>
        <v>0</v>
      </c>
    </row>
    <row r="386" spans="15:15">
      <c r="O386" s="50">
        <f t="shared" si="5"/>
        <v>0</v>
      </c>
    </row>
    <row r="387" spans="15:15">
      <c r="O387" s="50">
        <f t="shared" si="5"/>
        <v>0</v>
      </c>
    </row>
    <row r="388" spans="15:15">
      <c r="O388" s="50">
        <f t="shared" ref="O388:O451" si="6">M388*N388</f>
        <v>0</v>
      </c>
    </row>
    <row r="389" spans="15:15">
      <c r="O389" s="50">
        <f t="shared" si="6"/>
        <v>0</v>
      </c>
    </row>
    <row r="390" spans="15:15">
      <c r="O390" s="50">
        <f t="shared" si="6"/>
        <v>0</v>
      </c>
    </row>
    <row r="391" spans="15:15">
      <c r="O391" s="50">
        <f t="shared" si="6"/>
        <v>0</v>
      </c>
    </row>
    <row r="392" spans="15:15">
      <c r="O392" s="50">
        <f t="shared" si="6"/>
        <v>0</v>
      </c>
    </row>
    <row r="393" spans="15:15">
      <c r="O393" s="50">
        <f t="shared" si="6"/>
        <v>0</v>
      </c>
    </row>
    <row r="394" spans="15:15">
      <c r="O394" s="50">
        <f t="shared" si="6"/>
        <v>0</v>
      </c>
    </row>
    <row r="395" spans="15:15">
      <c r="O395" s="50">
        <f t="shared" si="6"/>
        <v>0</v>
      </c>
    </row>
    <row r="396" spans="15:15">
      <c r="O396" s="50">
        <f t="shared" si="6"/>
        <v>0</v>
      </c>
    </row>
    <row r="397" spans="15:15">
      <c r="O397" s="50">
        <f t="shared" si="6"/>
        <v>0</v>
      </c>
    </row>
    <row r="398" spans="15:15">
      <c r="O398" s="50">
        <f t="shared" si="6"/>
        <v>0</v>
      </c>
    </row>
    <row r="399" spans="15:15">
      <c r="O399" s="50">
        <f t="shared" si="6"/>
        <v>0</v>
      </c>
    </row>
    <row r="400" spans="15:15">
      <c r="O400" s="50">
        <f t="shared" si="6"/>
        <v>0</v>
      </c>
    </row>
    <row r="401" spans="15:15">
      <c r="O401" s="50">
        <f t="shared" si="6"/>
        <v>0</v>
      </c>
    </row>
    <row r="402" spans="15:15">
      <c r="O402" s="50">
        <f t="shared" si="6"/>
        <v>0</v>
      </c>
    </row>
    <row r="403" spans="15:15">
      <c r="O403" s="50">
        <f t="shared" si="6"/>
        <v>0</v>
      </c>
    </row>
    <row r="404" spans="15:15">
      <c r="O404" s="50">
        <f t="shared" si="6"/>
        <v>0</v>
      </c>
    </row>
    <row r="405" spans="15:15">
      <c r="O405" s="50">
        <f t="shared" si="6"/>
        <v>0</v>
      </c>
    </row>
    <row r="406" spans="15:15">
      <c r="O406" s="50">
        <f t="shared" si="6"/>
        <v>0</v>
      </c>
    </row>
    <row r="407" spans="15:15">
      <c r="O407" s="50">
        <f t="shared" si="6"/>
        <v>0</v>
      </c>
    </row>
    <row r="408" spans="15:15">
      <c r="O408" s="50">
        <f t="shared" si="6"/>
        <v>0</v>
      </c>
    </row>
    <row r="409" spans="15:15">
      <c r="O409" s="50">
        <f t="shared" si="6"/>
        <v>0</v>
      </c>
    </row>
    <row r="410" spans="15:15">
      <c r="O410" s="50">
        <f t="shared" si="6"/>
        <v>0</v>
      </c>
    </row>
    <row r="411" spans="15:15">
      <c r="O411" s="50">
        <f t="shared" si="6"/>
        <v>0</v>
      </c>
    </row>
    <row r="412" spans="15:15">
      <c r="O412" s="50">
        <f t="shared" si="6"/>
        <v>0</v>
      </c>
    </row>
    <row r="413" spans="15:15">
      <c r="O413" s="50">
        <f t="shared" si="6"/>
        <v>0</v>
      </c>
    </row>
    <row r="414" spans="15:15">
      <c r="O414" s="50">
        <f t="shared" si="6"/>
        <v>0</v>
      </c>
    </row>
    <row r="415" spans="15:15">
      <c r="O415" s="50">
        <f t="shared" si="6"/>
        <v>0</v>
      </c>
    </row>
    <row r="416" spans="15:15">
      <c r="O416" s="50">
        <f t="shared" si="6"/>
        <v>0</v>
      </c>
    </row>
    <row r="417" spans="15:15">
      <c r="O417" s="50">
        <f t="shared" si="6"/>
        <v>0</v>
      </c>
    </row>
    <row r="418" spans="15:15">
      <c r="O418" s="50">
        <f t="shared" si="6"/>
        <v>0</v>
      </c>
    </row>
    <row r="419" spans="15:15">
      <c r="O419" s="50">
        <f t="shared" si="6"/>
        <v>0</v>
      </c>
    </row>
    <row r="420" spans="15:15">
      <c r="O420" s="50">
        <f t="shared" si="6"/>
        <v>0</v>
      </c>
    </row>
    <row r="421" spans="15:15">
      <c r="O421" s="50">
        <f t="shared" si="6"/>
        <v>0</v>
      </c>
    </row>
    <row r="422" spans="15:15">
      <c r="O422" s="50">
        <f t="shared" si="6"/>
        <v>0</v>
      </c>
    </row>
    <row r="423" spans="15:15">
      <c r="O423" s="50">
        <f t="shared" si="6"/>
        <v>0</v>
      </c>
    </row>
    <row r="424" spans="15:15">
      <c r="O424" s="50">
        <f t="shared" si="6"/>
        <v>0</v>
      </c>
    </row>
    <row r="425" spans="15:15">
      <c r="O425" s="50">
        <f t="shared" si="6"/>
        <v>0</v>
      </c>
    </row>
    <row r="426" spans="15:15">
      <c r="O426" s="50">
        <f t="shared" si="6"/>
        <v>0</v>
      </c>
    </row>
    <row r="427" spans="15:15">
      <c r="O427" s="50">
        <f t="shared" si="6"/>
        <v>0</v>
      </c>
    </row>
    <row r="428" spans="15:15">
      <c r="O428" s="50">
        <f t="shared" si="6"/>
        <v>0</v>
      </c>
    </row>
    <row r="429" spans="15:15">
      <c r="O429" s="50">
        <f t="shared" si="6"/>
        <v>0</v>
      </c>
    </row>
    <row r="430" spans="15:15">
      <c r="O430" s="50">
        <f t="shared" si="6"/>
        <v>0</v>
      </c>
    </row>
    <row r="431" spans="15:15">
      <c r="O431" s="50">
        <f t="shared" si="6"/>
        <v>0</v>
      </c>
    </row>
    <row r="432" spans="15:15">
      <c r="O432" s="50">
        <f t="shared" si="6"/>
        <v>0</v>
      </c>
    </row>
    <row r="433" spans="15:15">
      <c r="O433" s="50">
        <f t="shared" si="6"/>
        <v>0</v>
      </c>
    </row>
    <row r="434" spans="15:15">
      <c r="O434" s="50">
        <f t="shared" si="6"/>
        <v>0</v>
      </c>
    </row>
    <row r="435" spans="15:15">
      <c r="O435" s="50">
        <f t="shared" si="6"/>
        <v>0</v>
      </c>
    </row>
    <row r="436" spans="15:15">
      <c r="O436" s="50">
        <f t="shared" si="6"/>
        <v>0</v>
      </c>
    </row>
    <row r="437" spans="15:15">
      <c r="O437" s="50">
        <f t="shared" si="6"/>
        <v>0</v>
      </c>
    </row>
    <row r="438" spans="15:15">
      <c r="O438" s="50">
        <f t="shared" si="6"/>
        <v>0</v>
      </c>
    </row>
    <row r="439" spans="15:15">
      <c r="O439" s="50">
        <f t="shared" si="6"/>
        <v>0</v>
      </c>
    </row>
    <row r="440" spans="15:15">
      <c r="O440" s="50">
        <f t="shared" si="6"/>
        <v>0</v>
      </c>
    </row>
    <row r="441" spans="15:15">
      <c r="O441" s="50">
        <f t="shared" si="6"/>
        <v>0</v>
      </c>
    </row>
    <row r="442" spans="15:15">
      <c r="O442" s="50">
        <f t="shared" si="6"/>
        <v>0</v>
      </c>
    </row>
    <row r="443" spans="15:15">
      <c r="O443" s="50">
        <f t="shared" si="6"/>
        <v>0</v>
      </c>
    </row>
    <row r="444" spans="15:15">
      <c r="O444" s="50">
        <f t="shared" si="6"/>
        <v>0</v>
      </c>
    </row>
    <row r="445" spans="15:15">
      <c r="O445" s="50">
        <f t="shared" si="6"/>
        <v>0</v>
      </c>
    </row>
    <row r="446" spans="15:15">
      <c r="O446" s="50">
        <f t="shared" si="6"/>
        <v>0</v>
      </c>
    </row>
    <row r="447" spans="15:15">
      <c r="O447" s="50">
        <f t="shared" si="6"/>
        <v>0</v>
      </c>
    </row>
    <row r="448" spans="15:15">
      <c r="O448" s="50">
        <f t="shared" si="6"/>
        <v>0</v>
      </c>
    </row>
    <row r="449" spans="15:15">
      <c r="O449" s="50">
        <f t="shared" si="6"/>
        <v>0</v>
      </c>
    </row>
    <row r="450" spans="15:15">
      <c r="O450" s="50">
        <f t="shared" si="6"/>
        <v>0</v>
      </c>
    </row>
    <row r="451" spans="15:15">
      <c r="O451" s="50">
        <f t="shared" si="6"/>
        <v>0</v>
      </c>
    </row>
    <row r="452" spans="15:15">
      <c r="O452" s="50">
        <f t="shared" ref="O452:O515" si="7">M452*N452</f>
        <v>0</v>
      </c>
    </row>
    <row r="453" spans="15:15">
      <c r="O453" s="50">
        <f t="shared" si="7"/>
        <v>0</v>
      </c>
    </row>
    <row r="454" spans="15:15">
      <c r="O454" s="50">
        <f t="shared" si="7"/>
        <v>0</v>
      </c>
    </row>
    <row r="455" spans="15:15">
      <c r="O455" s="50">
        <f t="shared" si="7"/>
        <v>0</v>
      </c>
    </row>
    <row r="456" spans="15:15">
      <c r="O456" s="50">
        <f t="shared" si="7"/>
        <v>0</v>
      </c>
    </row>
    <row r="457" spans="15:15">
      <c r="O457" s="50">
        <f t="shared" si="7"/>
        <v>0</v>
      </c>
    </row>
    <row r="458" spans="15:15">
      <c r="O458" s="50">
        <f t="shared" si="7"/>
        <v>0</v>
      </c>
    </row>
    <row r="459" spans="15:15">
      <c r="O459" s="50">
        <f t="shared" si="7"/>
        <v>0</v>
      </c>
    </row>
    <row r="460" spans="15:15">
      <c r="O460" s="50">
        <f t="shared" si="7"/>
        <v>0</v>
      </c>
    </row>
    <row r="461" spans="15:15">
      <c r="O461" s="50">
        <f t="shared" si="7"/>
        <v>0</v>
      </c>
    </row>
    <row r="462" spans="15:15">
      <c r="O462" s="50">
        <f t="shared" si="7"/>
        <v>0</v>
      </c>
    </row>
    <row r="463" spans="15:15">
      <c r="O463" s="50">
        <f t="shared" si="7"/>
        <v>0</v>
      </c>
    </row>
    <row r="464" spans="15:15">
      <c r="O464" s="50">
        <f t="shared" si="7"/>
        <v>0</v>
      </c>
    </row>
    <row r="465" spans="15:15">
      <c r="O465" s="50">
        <f t="shared" si="7"/>
        <v>0</v>
      </c>
    </row>
    <row r="466" spans="15:15">
      <c r="O466" s="50">
        <f t="shared" si="7"/>
        <v>0</v>
      </c>
    </row>
    <row r="467" spans="15:15">
      <c r="O467" s="50">
        <f t="shared" si="7"/>
        <v>0</v>
      </c>
    </row>
    <row r="468" spans="15:15">
      <c r="O468" s="50">
        <f t="shared" si="7"/>
        <v>0</v>
      </c>
    </row>
    <row r="469" spans="15:15">
      <c r="O469" s="50">
        <f t="shared" si="7"/>
        <v>0</v>
      </c>
    </row>
    <row r="470" spans="15:15">
      <c r="O470" s="50">
        <f t="shared" si="7"/>
        <v>0</v>
      </c>
    </row>
    <row r="471" spans="15:15">
      <c r="O471" s="50">
        <f t="shared" si="7"/>
        <v>0</v>
      </c>
    </row>
    <row r="472" spans="15:15">
      <c r="O472" s="50">
        <f t="shared" si="7"/>
        <v>0</v>
      </c>
    </row>
    <row r="473" spans="15:15">
      <c r="O473" s="50">
        <f t="shared" si="7"/>
        <v>0</v>
      </c>
    </row>
    <row r="474" spans="15:15">
      <c r="O474" s="50">
        <f t="shared" si="7"/>
        <v>0</v>
      </c>
    </row>
    <row r="475" spans="15:15">
      <c r="O475" s="50">
        <f t="shared" si="7"/>
        <v>0</v>
      </c>
    </row>
    <row r="476" spans="15:15">
      <c r="O476" s="50">
        <f t="shared" si="7"/>
        <v>0</v>
      </c>
    </row>
    <row r="477" spans="15:15">
      <c r="O477" s="50">
        <f t="shared" si="7"/>
        <v>0</v>
      </c>
    </row>
    <row r="478" spans="15:15">
      <c r="O478" s="50">
        <f t="shared" si="7"/>
        <v>0</v>
      </c>
    </row>
    <row r="479" spans="15:15">
      <c r="O479" s="50">
        <f t="shared" si="7"/>
        <v>0</v>
      </c>
    </row>
    <row r="480" spans="15:15">
      <c r="O480" s="50">
        <f t="shared" si="7"/>
        <v>0</v>
      </c>
    </row>
    <row r="481" spans="15:15">
      <c r="O481" s="50">
        <f t="shared" si="7"/>
        <v>0</v>
      </c>
    </row>
    <row r="482" spans="15:15">
      <c r="O482" s="50">
        <f t="shared" si="7"/>
        <v>0</v>
      </c>
    </row>
    <row r="483" spans="15:15">
      <c r="O483" s="50">
        <f t="shared" si="7"/>
        <v>0</v>
      </c>
    </row>
    <row r="484" spans="15:15">
      <c r="O484" s="50">
        <f t="shared" si="7"/>
        <v>0</v>
      </c>
    </row>
    <row r="485" spans="15:15">
      <c r="O485" s="50">
        <f t="shared" si="7"/>
        <v>0</v>
      </c>
    </row>
    <row r="486" spans="15:15">
      <c r="O486" s="50">
        <f t="shared" si="7"/>
        <v>0</v>
      </c>
    </row>
    <row r="487" spans="15:15">
      <c r="O487" s="50">
        <f t="shared" si="7"/>
        <v>0</v>
      </c>
    </row>
    <row r="488" spans="15:15">
      <c r="O488" s="50">
        <f t="shared" si="7"/>
        <v>0</v>
      </c>
    </row>
    <row r="489" spans="15:15">
      <c r="O489" s="50">
        <f t="shared" si="7"/>
        <v>0</v>
      </c>
    </row>
    <row r="490" spans="15:15">
      <c r="O490" s="50">
        <f t="shared" si="7"/>
        <v>0</v>
      </c>
    </row>
    <row r="491" spans="15:15">
      <c r="O491" s="50">
        <f t="shared" si="7"/>
        <v>0</v>
      </c>
    </row>
    <row r="492" spans="15:15">
      <c r="O492" s="50">
        <f t="shared" si="7"/>
        <v>0</v>
      </c>
    </row>
    <row r="493" spans="15:15">
      <c r="O493" s="50">
        <f t="shared" si="7"/>
        <v>0</v>
      </c>
    </row>
    <row r="494" spans="15:15">
      <c r="O494" s="50">
        <f t="shared" si="7"/>
        <v>0</v>
      </c>
    </row>
    <row r="495" spans="15:15">
      <c r="O495" s="50">
        <f t="shared" si="7"/>
        <v>0</v>
      </c>
    </row>
    <row r="496" spans="15:15">
      <c r="O496" s="50">
        <f t="shared" si="7"/>
        <v>0</v>
      </c>
    </row>
    <row r="497" spans="15:15">
      <c r="O497" s="50">
        <f t="shared" si="7"/>
        <v>0</v>
      </c>
    </row>
    <row r="498" spans="15:15">
      <c r="O498" s="50">
        <f t="shared" si="7"/>
        <v>0</v>
      </c>
    </row>
    <row r="499" spans="15:15">
      <c r="O499" s="50">
        <f t="shared" si="7"/>
        <v>0</v>
      </c>
    </row>
    <row r="500" spans="15:15">
      <c r="O500" s="50">
        <f t="shared" si="7"/>
        <v>0</v>
      </c>
    </row>
    <row r="501" spans="15:15">
      <c r="O501" s="50">
        <f t="shared" si="7"/>
        <v>0</v>
      </c>
    </row>
    <row r="502" spans="15:15">
      <c r="O502" s="50">
        <f t="shared" si="7"/>
        <v>0</v>
      </c>
    </row>
    <row r="503" spans="15:15">
      <c r="O503" s="50">
        <f t="shared" si="7"/>
        <v>0</v>
      </c>
    </row>
    <row r="504" spans="15:15">
      <c r="O504" s="50">
        <f t="shared" si="7"/>
        <v>0</v>
      </c>
    </row>
    <row r="505" spans="15:15">
      <c r="O505" s="50">
        <f t="shared" si="7"/>
        <v>0</v>
      </c>
    </row>
    <row r="506" spans="15:15">
      <c r="O506" s="50">
        <f t="shared" si="7"/>
        <v>0</v>
      </c>
    </row>
    <row r="507" spans="15:15">
      <c r="O507" s="50">
        <f t="shared" si="7"/>
        <v>0</v>
      </c>
    </row>
    <row r="508" spans="15:15">
      <c r="O508" s="50">
        <f t="shared" si="7"/>
        <v>0</v>
      </c>
    </row>
    <row r="509" spans="15:15">
      <c r="O509" s="50">
        <f t="shared" si="7"/>
        <v>0</v>
      </c>
    </row>
  </sheetData>
  <mergeCells count="1">
    <mergeCell ref="A1:Y1"/>
  </mergeCells>
  <dataValidations count="1">
    <dataValidation type="list" showErrorMessage="1" errorTitle="Invalid value" error="Enter Yes or No" sqref="S4:S509" xr:uid="{00000000-0002-0000-0600-000000000000}">
      <formula1>"Yes,No"</formula1>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9"/>
  <sheetViews>
    <sheetView zoomScaleNormal="100" workbookViewId="0">
      <pane ySplit="4" topLeftCell="A5" activePane="bottomLeft" state="frozen"/>
      <selection pane="bottomLeft"/>
    </sheetView>
  </sheetViews>
  <sheetFormatPr defaultColWidth="8.5703125" defaultRowHeight="14.45"/>
  <cols>
    <col min="1" max="1" width="12" customWidth="1"/>
    <col min="2" max="2" width="22" customWidth="1"/>
    <col min="3" max="5" width="18" customWidth="1"/>
    <col min="6" max="6" width="12" customWidth="1"/>
    <col min="7" max="7" width="14" customWidth="1"/>
    <col min="8" max="8" width="10" customWidth="1"/>
    <col min="9" max="9" width="16" customWidth="1"/>
    <col min="10" max="10" width="18" customWidth="1"/>
    <col min="11" max="13" width="16" customWidth="1"/>
    <col min="14" max="14" width="18" customWidth="1"/>
    <col min="15" max="15" width="16" customWidth="1"/>
    <col min="16" max="16" width="20" customWidth="1"/>
    <col min="17" max="18" width="16" customWidth="1"/>
    <col min="19" max="21" width="18" customWidth="1"/>
    <col min="22" max="22" width="20" customWidth="1"/>
    <col min="23" max="25" width="16" customWidth="1"/>
    <col min="26" max="28" width="18" customWidth="1"/>
    <col min="29" max="30" width="20" customWidth="1"/>
    <col min="31" max="31" width="18" customWidth="1"/>
    <col min="32" max="36" width="20" customWidth="1"/>
    <col min="37" max="38" width="18" customWidth="1"/>
    <col min="39" max="39" width="22" customWidth="1"/>
    <col min="40" max="44" width="18" customWidth="1"/>
    <col min="45" max="45" width="22" customWidth="1"/>
    <col min="46" max="46" width="20" customWidth="1"/>
    <col min="47" max="49" width="22" customWidth="1"/>
    <col min="50" max="50" width="20" customWidth="1"/>
    <col min="51" max="52" width="18" customWidth="1"/>
  </cols>
  <sheetData>
    <row r="1" spans="1:52" ht="24" customHeight="1">
      <c r="A1" s="78" t="s">
        <v>352</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row>
    <row r="2" spans="1:52" ht="18" customHeight="1">
      <c r="A2" s="82" t="s">
        <v>353</v>
      </c>
      <c r="B2" s="69"/>
      <c r="C2" s="69"/>
      <c r="D2" s="69"/>
      <c r="E2" s="69"/>
      <c r="F2" s="69"/>
      <c r="G2" s="69"/>
      <c r="H2" s="69"/>
      <c r="I2" s="69"/>
      <c r="J2" s="69"/>
      <c r="K2" s="69"/>
      <c r="L2" s="69"/>
      <c r="M2" s="69"/>
      <c r="N2" s="69"/>
      <c r="O2" s="69"/>
      <c r="P2" s="69"/>
      <c r="Q2" s="69"/>
      <c r="R2" s="69"/>
      <c r="S2" s="69"/>
      <c r="T2" s="69"/>
      <c r="U2" s="69"/>
      <c r="V2" s="69"/>
      <c r="W2" s="85" t="s">
        <v>354</v>
      </c>
      <c r="X2" s="69"/>
      <c r="Y2" s="69"/>
      <c r="Z2" s="69"/>
      <c r="AA2" s="69"/>
      <c r="AB2" s="69"/>
      <c r="AC2" s="69"/>
      <c r="AD2" s="69"/>
      <c r="AE2" s="69"/>
      <c r="AF2" s="69"/>
      <c r="AG2" s="69"/>
      <c r="AH2" s="69"/>
      <c r="AI2" s="69"/>
      <c r="AJ2" s="69"/>
      <c r="AK2" s="69"/>
      <c r="AL2" s="69"/>
      <c r="AM2" s="69"/>
      <c r="AN2" s="84" t="s">
        <v>355</v>
      </c>
      <c r="AO2" s="69"/>
      <c r="AP2" s="69"/>
      <c r="AQ2" s="69"/>
      <c r="AR2" s="69"/>
      <c r="AS2" s="83" t="s">
        <v>356</v>
      </c>
      <c r="AT2" s="69"/>
      <c r="AU2" s="69"/>
      <c r="AV2" s="69"/>
      <c r="AW2" s="69"/>
      <c r="AX2" s="69"/>
    </row>
    <row r="3" spans="1:52" ht="21.75" customHeight="1">
      <c r="A3" s="20" t="s">
        <v>357</v>
      </c>
      <c r="B3" s="20" t="s">
        <v>151</v>
      </c>
      <c r="C3" s="20" t="s">
        <v>358</v>
      </c>
      <c r="D3" s="20" t="s">
        <v>359</v>
      </c>
      <c r="E3" s="20" t="s">
        <v>152</v>
      </c>
      <c r="F3" s="20" t="s">
        <v>360</v>
      </c>
      <c r="G3" s="20" t="s">
        <v>155</v>
      </c>
      <c r="H3" s="20" t="s">
        <v>156</v>
      </c>
      <c r="I3" s="20" t="s">
        <v>80</v>
      </c>
      <c r="J3" s="20" t="s">
        <v>361</v>
      </c>
      <c r="K3" s="20" t="s">
        <v>157</v>
      </c>
      <c r="L3" s="20" t="s">
        <v>362</v>
      </c>
      <c r="M3" s="20" t="s">
        <v>118</v>
      </c>
      <c r="N3" s="20" t="s">
        <v>363</v>
      </c>
      <c r="O3" s="20" t="s">
        <v>364</v>
      </c>
      <c r="P3" s="20" t="s">
        <v>365</v>
      </c>
      <c r="Q3" s="20" t="s">
        <v>366</v>
      </c>
      <c r="R3" s="20" t="s">
        <v>367</v>
      </c>
      <c r="S3" s="20" t="s">
        <v>368</v>
      </c>
      <c r="T3" s="20" t="s">
        <v>369</v>
      </c>
      <c r="U3" s="20" t="s">
        <v>370</v>
      </c>
      <c r="V3" s="20" t="s">
        <v>371</v>
      </c>
      <c r="W3" s="21" t="s">
        <v>372</v>
      </c>
      <c r="X3" s="21" t="s">
        <v>373</v>
      </c>
      <c r="Y3" s="21" t="s">
        <v>374</v>
      </c>
      <c r="Z3" s="21" t="s">
        <v>375</v>
      </c>
      <c r="AA3" s="21" t="s">
        <v>376</v>
      </c>
      <c r="AB3" s="21" t="s">
        <v>377</v>
      </c>
      <c r="AC3" s="21" t="s">
        <v>378</v>
      </c>
      <c r="AD3" s="21" t="s">
        <v>379</v>
      </c>
      <c r="AE3" s="21" t="s">
        <v>380</v>
      </c>
      <c r="AF3" s="21" t="s">
        <v>381</v>
      </c>
      <c r="AG3" s="21" t="s">
        <v>382</v>
      </c>
      <c r="AH3" s="21" t="s">
        <v>383</v>
      </c>
      <c r="AI3" s="21" t="s">
        <v>384</v>
      </c>
      <c r="AJ3" s="21" t="s">
        <v>385</v>
      </c>
      <c r="AK3" s="21" t="s">
        <v>386</v>
      </c>
      <c r="AL3" s="21" t="s">
        <v>120</v>
      </c>
      <c r="AM3" s="21" t="s">
        <v>387</v>
      </c>
      <c r="AN3" s="22" t="s">
        <v>388</v>
      </c>
      <c r="AO3" s="22" t="s">
        <v>389</v>
      </c>
      <c r="AP3" s="22" t="s">
        <v>390</v>
      </c>
      <c r="AQ3" s="22" t="s">
        <v>391</v>
      </c>
      <c r="AR3" s="22" t="s">
        <v>392</v>
      </c>
      <c r="AS3" s="23" t="s">
        <v>393</v>
      </c>
      <c r="AT3" s="23" t="s">
        <v>394</v>
      </c>
      <c r="AU3" s="23" t="s">
        <v>395</v>
      </c>
      <c r="AV3" s="23" t="s">
        <v>396</v>
      </c>
      <c r="AW3" s="23" t="s">
        <v>397</v>
      </c>
      <c r="AX3" s="23" t="s">
        <v>398</v>
      </c>
      <c r="AY3" s="53" t="s">
        <v>399</v>
      </c>
      <c r="AZ3" s="54" t="s">
        <v>400</v>
      </c>
    </row>
    <row r="4" spans="1:52" ht="54.75" customHeight="1">
      <c r="A4" s="24" t="s">
        <v>401</v>
      </c>
      <c r="B4" s="24" t="s">
        <v>402</v>
      </c>
      <c r="C4" s="24" t="s">
        <v>403</v>
      </c>
      <c r="D4" s="24" t="s">
        <v>404</v>
      </c>
      <c r="E4" s="24" t="s">
        <v>405</v>
      </c>
      <c r="F4" s="24" t="s">
        <v>406</v>
      </c>
      <c r="G4" s="24" t="s">
        <v>407</v>
      </c>
      <c r="H4" s="24" t="s">
        <v>408</v>
      </c>
      <c r="I4" s="24" t="s">
        <v>409</v>
      </c>
      <c r="J4" s="24" t="s">
        <v>410</v>
      </c>
      <c r="K4" s="24" t="s">
        <v>411</v>
      </c>
      <c r="L4" s="24" t="s">
        <v>412</v>
      </c>
      <c r="M4" s="24" t="s">
        <v>413</v>
      </c>
      <c r="N4" s="24" t="s">
        <v>414</v>
      </c>
      <c r="O4" s="24" t="s">
        <v>415</v>
      </c>
      <c r="P4" s="24" t="s">
        <v>416</v>
      </c>
      <c r="Q4" s="24" t="s">
        <v>417</v>
      </c>
      <c r="R4" s="24" t="s">
        <v>418</v>
      </c>
      <c r="S4" s="24" t="s">
        <v>419</v>
      </c>
      <c r="T4" s="55" t="s">
        <v>420</v>
      </c>
      <c r="U4" s="55" t="s">
        <v>421</v>
      </c>
      <c r="V4" s="55" t="s">
        <v>422</v>
      </c>
      <c r="W4" s="24" t="s">
        <v>423</v>
      </c>
      <c r="X4" s="24" t="s">
        <v>424</v>
      </c>
      <c r="Y4" s="24" t="s">
        <v>425</v>
      </c>
      <c r="Z4" s="24" t="s">
        <v>426</v>
      </c>
      <c r="AA4" s="24" t="s">
        <v>427</v>
      </c>
      <c r="AB4" s="24" t="s">
        <v>428</v>
      </c>
      <c r="AC4" s="24" t="s">
        <v>429</v>
      </c>
      <c r="AD4" s="24" t="s">
        <v>430</v>
      </c>
      <c r="AE4" s="24" t="s">
        <v>431</v>
      </c>
      <c r="AF4" s="24" t="s">
        <v>432</v>
      </c>
      <c r="AG4" s="24" t="s">
        <v>433</v>
      </c>
      <c r="AH4" s="24" t="s">
        <v>434</v>
      </c>
      <c r="AI4" s="24" t="s">
        <v>435</v>
      </c>
      <c r="AJ4" s="24" t="s">
        <v>436</v>
      </c>
      <c r="AK4" s="24" t="s">
        <v>437</v>
      </c>
      <c r="AL4" s="24" t="s">
        <v>438</v>
      </c>
      <c r="AM4" s="24" t="s">
        <v>439</v>
      </c>
      <c r="AN4" s="24" t="s">
        <v>440</v>
      </c>
      <c r="AO4" s="24" t="s">
        <v>441</v>
      </c>
      <c r="AP4" s="24" t="s">
        <v>442</v>
      </c>
      <c r="AQ4" s="24" t="s">
        <v>443</v>
      </c>
      <c r="AR4" s="24" t="s">
        <v>444</v>
      </c>
      <c r="AS4" s="24" t="s">
        <v>445</v>
      </c>
      <c r="AT4" s="24" t="s">
        <v>446</v>
      </c>
      <c r="AU4" s="24" t="s">
        <v>447</v>
      </c>
      <c r="AV4" s="24" t="s">
        <v>448</v>
      </c>
      <c r="AW4" s="24" t="s">
        <v>449</v>
      </c>
      <c r="AX4" s="24" t="s">
        <v>450</v>
      </c>
      <c r="AY4" s="65" t="s">
        <v>451</v>
      </c>
      <c r="AZ4" s="65" t="s">
        <v>452</v>
      </c>
    </row>
    <row r="5" spans="1:52" ht="18" customHeight="1">
      <c r="A5" s="2" t="s">
        <v>453</v>
      </c>
      <c r="B5" s="2" t="s">
        <v>198</v>
      </c>
      <c r="C5" s="2" t="s">
        <v>454</v>
      </c>
      <c r="D5" s="2" t="s">
        <v>455</v>
      </c>
      <c r="E5" s="2" t="s">
        <v>199</v>
      </c>
      <c r="F5" s="25">
        <v>100</v>
      </c>
      <c r="G5" s="2" t="s">
        <v>201</v>
      </c>
      <c r="H5" s="2" t="s">
        <v>202</v>
      </c>
      <c r="I5" s="2" t="s">
        <v>90</v>
      </c>
      <c r="J5" s="25">
        <v>7</v>
      </c>
      <c r="K5" s="2" t="s">
        <v>203</v>
      </c>
      <c r="L5" s="25">
        <v>5</v>
      </c>
      <c r="M5" s="2" t="s">
        <v>129</v>
      </c>
      <c r="N5" s="26">
        <v>950</v>
      </c>
      <c r="O5" s="26">
        <v>2000</v>
      </c>
      <c r="P5" s="26">
        <v>1500</v>
      </c>
      <c r="Q5" s="26">
        <v>3000</v>
      </c>
      <c r="R5" s="26">
        <v>1000</v>
      </c>
      <c r="S5" s="26">
        <v>2500</v>
      </c>
      <c r="T5" s="25">
        <v>5</v>
      </c>
      <c r="U5" s="25">
        <v>3</v>
      </c>
      <c r="V5" s="25">
        <v>2</v>
      </c>
      <c r="W5" s="27">
        <f>COUNTIFS('Internal Benchmark Data'!$B$4:$B$500,$B5,'Internal Benchmark Data'!$F$4:$F$500,$G5,'Internal Benchmark Data'!$G$4:$G$500,$H5,'Internal Benchmark Data'!$S$4:$S$500,"Yes")</f>
        <v>7</v>
      </c>
      <c r="X5" s="27">
        <f>COUNTIFS('External DB Benchmark Extract'!$B$4:$B$500,$B5,'External DB Benchmark Extract'!$F$4:$F$500,$G5,'External DB Benchmark Extract'!$G$4:$G$500,$H5,'External DB Benchmark Extract'!$S$4:$S$500,"Yes")</f>
        <v>5</v>
      </c>
      <c r="Y5" s="27">
        <f>$W5+$X5</f>
        <v>12</v>
      </c>
      <c r="Z5" s="28">
        <f>SUMPRODUCT(('Internal Benchmark Data'!$B$4:$B$500=$B5)*('Internal Benchmark Data'!$F$4:$F$500=$G5)*('Internal Benchmark Data'!$G$4:$G$500=$H5)*('Internal Benchmark Data'!$S$4:$S$500="Yes")*'Internal Benchmark Data'!$M$4:$M$500*'Internal Benchmark Data'!$N$4:$N$500)</f>
        <v>5761</v>
      </c>
      <c r="AA5" s="28">
        <f>SUMPRODUCT(('External DB Benchmark Extract'!$B$4:$B$500=$B5)*('External DB Benchmark Extract'!$F$4:$F$500=$G5)*('External DB Benchmark Extract'!$G$4:$G$500=$H5)*('External DB Benchmark Extract'!$S$4:$S$500="Yes")*'External DB Benchmark Extract'!$M$4:$M$500*'External DB Benchmark Extract'!$N$4:$N$500)</f>
        <v>5134</v>
      </c>
      <c r="AB5" s="29">
        <f>SUMPRODUCT(('Internal Benchmark Data'!$B$4:$B$500=$B5)*('Internal Benchmark Data'!$F$4:$F$500=$G5)*('Internal Benchmark Data'!$G$4:$G$500=$H5)*('Internal Benchmark Data'!$S$4:$S$500="Yes")*'Internal Benchmark Data'!$N$4:$N$500)+SUMPRODUCT(('External DB Benchmark Extract'!$B$4:$B$500=$B5)*('External DB Benchmark Extract'!$F$4:$F$500=$G5)*('External DB Benchmark Extract'!$G$4:$G$500=$H5)*('External DB Benchmark Extract'!$S$4:$S$500="Yes")*'External DB Benchmark Extract'!$N$4:$N$500)</f>
        <v>12.450000000000001</v>
      </c>
      <c r="AC5" s="28">
        <f>IF($Y5&lt;'Benchmark Settings'!$B$4,"",IFERROR(ROUND((SUMIFS('Internal Benchmark Data'!$M$4:$M$500,'Internal Benchmark Data'!$B$4:$B$500,$B5,'Internal Benchmark Data'!$F$4:$F$500,$G5,'Internal Benchmark Data'!$G$4:$G$500,$H5,'Internal Benchmark Data'!$S$4:$S$500,"Yes")+SUMIFS('External DB Benchmark Extract'!$M$4:$M$500,'External DB Benchmark Extract'!$B$4:$B$500,$B5,'External DB Benchmark Extract'!$F$4:$F$500,$G5,'External DB Benchmark Extract'!$G$4:$G$500,$H5,'External DB Benchmark Extract'!$S$4:$S$500,"Yes"))/$Y5,2),""))</f>
        <v>870.42</v>
      </c>
      <c r="AD5" s="28">
        <f>IF($Y5&lt;'Benchmark Settings'!$B$4,"",IFERROR(ROUND(($Z5+$AA5)/$AB5,2),""))</f>
        <v>875.1</v>
      </c>
      <c r="AE5" s="28">
        <f>IF($Y5&lt;'Benchmark Settings'!$B$4,"",IFERROR(ROUND(MEDIAN(IF(('Internal Benchmark Data'!$B$4:$B$500=$B5)*('Internal Benchmark Data'!$F$4:$F$500=$G5)*('Internal Benchmark Data'!$G$4:$G$500=$H5)*('Internal Benchmark Data'!$S$4:$S$500="Yes"),'Internal Benchmark Data'!$M$4:$M$500)),2),""))</f>
        <v>827.5</v>
      </c>
      <c r="AF5" s="28">
        <f>IF($Y5&lt;'Benchmark Settings'!$B$4,"",IF('Benchmark Settings'!$B$5="Simple Average",$AC5,IF('Benchmark Settings'!$B$5="Median",$AE5,$AD5)))</f>
        <v>875.1</v>
      </c>
      <c r="AG5" s="28">
        <f>IF($Y5&lt;'Benchmark Settings'!$B$4,"",IFERROR(ROUND((SUMPRODUCT(('Internal Benchmark Data'!$B$4:$B$500=$B5)*('Internal Benchmark Data'!$F$4:$F$500=$G5)*('Internal Benchmark Data'!$G$4:$G$500=$H5)*('Internal Benchmark Data'!$S$4:$S$500="Yes")*'Internal Benchmark Data'!$L$4:$L$500*'Internal Benchmark Data'!$N$4:$N$500)+SUMPRODUCT(('External DB Benchmark Extract'!$B$4:$B$500=$B5)*('External DB Benchmark Extract'!$F$4:$F$500=$G5)*('External DB Benchmark Extract'!$G$4:$G$500=$H5)*('External DB Benchmark Extract'!$S$4:$S$500="Yes")*'External DB Benchmark Extract'!$L$4:$L$500*'External DB Benchmark Extract'!$N$4:$N$500))/$AB5,2),""))</f>
        <v>116.73</v>
      </c>
      <c r="AH5" s="29">
        <f>IF($Y5&lt;'Benchmark Settings'!$B$4,"",IFERROR(ROUND((SUMPRODUCT(('Internal Benchmark Data'!$B$4:$B$500=$B5)*('Internal Benchmark Data'!$F$4:$F$500=$G5)*('Internal Benchmark Data'!$G$4:$G$500=$H5)*('Internal Benchmark Data'!$S$4:$S$500="Yes")*'Internal Benchmark Data'!$E$4:$E$500*'Internal Benchmark Data'!$N$4:$N$500)+SUMPRODUCT(('External DB Benchmark Extract'!$B$4:$B$500=$B5)*('External DB Benchmark Extract'!$F$4:$F$500=$G5)*('External DB Benchmark Extract'!$G$4:$G$500=$H5)*('External DB Benchmark Extract'!$S$4:$S$500="Yes")*'External DB Benchmark Extract'!$E$4:$E$500*'External DB Benchmark Extract'!$N$4:$N$500))/$AB5,2),""))</f>
        <v>6.81</v>
      </c>
      <c r="AI5" s="30">
        <f>IFERROR(VLOOKUP($I5,'Location Index Table'!$A:$C,3,FALSE()),'Benchmark Settings'!$B$19)</f>
        <v>1</v>
      </c>
      <c r="AJ5" s="30">
        <f>IF($Y5&lt;'Benchmark Settings'!$B$4,"",IFERROR(ROUND((SUMPRODUCT(('Internal Benchmark Data'!$B$4:$B$500=$B5)*('Internal Benchmark Data'!$F$4:$F$500=$G5)*('Internal Benchmark Data'!$G$4:$G$500=$H5)*('Internal Benchmark Data'!$S$4:$S$500="Yes")*'Internal Benchmark Data'!$I$4:$I$500*'Internal Benchmark Data'!$N$4:$N$500)+SUMPRODUCT(('External DB Benchmark Extract'!$B$4:$B$500=$B5)*('External DB Benchmark Extract'!$F$4:$F$500=$G5)*('External DB Benchmark Extract'!$G$4:$G$500=$H5)*('External DB Benchmark Extract'!$S$4:$S$500="Yes")*'External DB Benchmark Extract'!$I$4:$I$500*'External DB Benchmark Extract'!$N$4:$N$500))/$AB5,4),""))</f>
        <v>1.0322</v>
      </c>
      <c r="AK5" s="29">
        <f>IF($Y5&lt;'Benchmark Settings'!$B$4,"",IFERROR(ROUND((SUMPRODUCT(('Internal Benchmark Data'!$B$4:$B$500=$B5)*('Internal Benchmark Data'!$F$4:$F$500=$G5)*('Internal Benchmark Data'!$G$4:$G$500=$H5)*('Internal Benchmark Data'!$S$4:$S$500="Yes")*'Internal Benchmark Data'!$K$4:$K$500*'Internal Benchmark Data'!$N$4:$N$500)+SUMPRODUCT(('External DB Benchmark Extract'!$B$4:$B$500=$B5)*('External DB Benchmark Extract'!$F$4:$F$500=$G5)*('External DB Benchmark Extract'!$G$4:$G$500=$H5)*('External DB Benchmark Extract'!$S$4:$S$500="Yes")*'External DB Benchmark Extract'!$K$4:$K$500*'External DB Benchmark Extract'!$N$4:$N$500))/$AB5,2),""))</f>
        <v>5.27</v>
      </c>
      <c r="AL5" s="27">
        <f>IFERROR(VLOOKUP($M5,'Index Table'!$A:$C,3,FALSE()),'Benchmark Settings'!$B$20)</f>
        <v>112</v>
      </c>
      <c r="AM5" s="29">
        <f>IF($Y5&lt;'Benchmark Settings'!$B$4,"",IFERROR(ROUND((SUMPRODUCT(('Internal Benchmark Data'!$B$4:$B$500=$B5)*('Internal Benchmark Data'!$F$4:$F$500=$G5)*('Internal Benchmark Data'!$G$4:$G$500=$H5)*('Internal Benchmark Data'!$S$4:$S$500="Yes")*'Internal Benchmark Data'!$R$4:$R$500*'Internal Benchmark Data'!$N$4:$N$500)+SUMPRODUCT(('External DB Benchmark Extract'!$B$4:$B$500=$B5)*('External DB Benchmark Extract'!$F$4:$F$500=$G5)*('External DB Benchmark Extract'!$G$4:$G$500=$H5)*('External DB Benchmark Extract'!$S$4:$S$500="Yes")*'External DB Benchmark Extract'!$R$4:$R$500*'External DB Benchmark Extract'!$N$4:$N$500))/$AB5,2),""))</f>
        <v>107.69</v>
      </c>
      <c r="AN5" s="31">
        <f>IF($Y5&lt;'Benchmark Settings'!$B$4,"",IF($AF5="","",IFERROR(ROUND(MAX('Benchmark Settings'!$B$8,MIN('Benchmark Settings'!$B$9,POWER($F5/$AG5,-'Benchmark Settings'!$B$7))),4),1)))</f>
        <v>1.0093000000000001</v>
      </c>
      <c r="AO5" s="31">
        <f>IF($Y5&lt;'Benchmark Settings'!$B$4,"",IF($AF5="","",IFERROR(ROUND(MAX('Benchmark Settings'!$B$12,MIN('Benchmark Settings'!$B$13,1+(($J5-$AH5)*'Benchmark Settings'!$B$11))),4),1)))</f>
        <v>1.0057</v>
      </c>
      <c r="AP5" s="31">
        <f>IF($Y5&lt;'Benchmark Settings'!$B$4,"",IF($AF5="","",IFERROR(ROUND($AI5/$AJ5,4),1)))</f>
        <v>0.96879999999999999</v>
      </c>
      <c r="AQ5" s="31">
        <f>IF($Y5&lt;'Benchmark Settings'!$B$4,"",IF($AF5="","",IFERROR(ROUND(MAX('Benchmark Settings'!$B$16,MIN('Benchmark Settings'!$B$17,1+(($L5-$AK5)*'Benchmark Settings'!$B$15))),4),1)))</f>
        <v>0.99329999999999996</v>
      </c>
      <c r="AR5" s="31">
        <f>IF($Y5&lt;'Benchmark Settings'!$B$4,"",IF($AF5="","",IFERROR(ROUND($AL5/$AM5,4),1)))</f>
        <v>1.04</v>
      </c>
      <c r="AS5" s="32">
        <f>IF($Y5&lt;'Benchmark Settings'!$B$4,"",IF($AF5="","",IFERROR(ROUND($AF5*$AN5*$AO5*$AP5*$AQ5*$AR5,2),"")))</f>
        <v>888.98</v>
      </c>
      <c r="AT5" s="32">
        <f>($N5*$F5)+$O5+$P5+$Q5+$R5-$S5</f>
        <v>100000</v>
      </c>
      <c r="AU5" s="32">
        <f>IF($AS5="","",$AS5*$F5+$O5+$P5+$Q5+$R5-$S5)</f>
        <v>93898</v>
      </c>
      <c r="AV5" s="32">
        <f>IF($AS5="","",ROUND($N5-$AS5,2))</f>
        <v>61.02</v>
      </c>
      <c r="AW5" s="33">
        <f>IF($AS5="","",IFERROR(ROUND($AV5/$AS5,4),""))</f>
        <v>6.8599999999999994E-2</v>
      </c>
      <c r="AX5" s="34">
        <f>IF($AU5="","",ROUND($AT5-$AU5,0))</f>
        <v>6102</v>
      </c>
      <c r="AY5" s="56">
        <f>IF($Y5&lt;'Benchmark Settings'!$B$4,"",ROUND($AN5*$AO5*$AP5*$AQ5*$AR5,4))</f>
        <v>1.0159</v>
      </c>
      <c r="AZ5" s="57" t="str">
        <f>IF($Y5=0,"No Data",IF($Y5&lt;'Benchmark Settings'!$B$4,"Insufficient",IF($Y5&gt;=10,"HIGH",IF($Y5&gt;=6,"MEDIUM","LOW"))))</f>
        <v>HIGH</v>
      </c>
    </row>
    <row r="6" spans="1:52" ht="18" customHeight="1">
      <c r="A6" s="2" t="s">
        <v>456</v>
      </c>
      <c r="B6" s="2" t="s">
        <v>225</v>
      </c>
      <c r="C6" s="2" t="s">
        <v>457</v>
      </c>
      <c r="D6" s="2" t="s">
        <v>458</v>
      </c>
      <c r="E6" s="2" t="s">
        <v>226</v>
      </c>
      <c r="F6" s="25">
        <v>250</v>
      </c>
      <c r="G6" s="2" t="s">
        <v>228</v>
      </c>
      <c r="H6" s="2" t="s">
        <v>202</v>
      </c>
      <c r="I6" s="2" t="s">
        <v>90</v>
      </c>
      <c r="J6" s="25">
        <v>6</v>
      </c>
      <c r="K6" s="2" t="s">
        <v>203</v>
      </c>
      <c r="L6" s="25">
        <v>5</v>
      </c>
      <c r="M6" s="2" t="s">
        <v>133</v>
      </c>
      <c r="N6" s="26">
        <v>18.5</v>
      </c>
      <c r="O6" s="26">
        <v>0</v>
      </c>
      <c r="P6" s="26">
        <v>500</v>
      </c>
      <c r="Q6" s="26">
        <v>1200</v>
      </c>
      <c r="R6" s="26">
        <v>300</v>
      </c>
      <c r="S6" s="26">
        <v>900</v>
      </c>
      <c r="T6" s="25">
        <v>3</v>
      </c>
      <c r="U6" s="25">
        <v>2</v>
      </c>
      <c r="V6" s="25">
        <v>4</v>
      </c>
      <c r="W6" s="27">
        <f>COUNTIFS('Internal Benchmark Data'!$B$4:$B$500,$B6,'Internal Benchmark Data'!$F$4:$F$500,$G6,'Internal Benchmark Data'!$G$4:$G$500,$H6,'Internal Benchmark Data'!$S$4:$S$500,"Yes")</f>
        <v>7</v>
      </c>
      <c r="X6" s="27">
        <f>COUNTIFS('External DB Benchmark Extract'!$B$4:$B$500,$B6,'External DB Benchmark Extract'!$F$4:$F$500,$G6,'External DB Benchmark Extract'!$G$4:$G$500,$H6,'External DB Benchmark Extract'!$S$4:$S$500,"Yes")</f>
        <v>3</v>
      </c>
      <c r="Y6" s="27">
        <f>$W6+$X6</f>
        <v>10</v>
      </c>
      <c r="Z6" s="28">
        <f>SUMPRODUCT(('Internal Benchmark Data'!$B$4:$B$500=$B6)*('Internal Benchmark Data'!$F$4:$F$500=$G6)*('Internal Benchmark Data'!$G$4:$G$500=$H6)*('Internal Benchmark Data'!$S$4:$S$500="Yes")*'Internal Benchmark Data'!$M$4:$M$500*'Internal Benchmark Data'!$N$4:$N$500)</f>
        <v>115.26</v>
      </c>
      <c r="AA6" s="28">
        <f>SUMPRODUCT(('External DB Benchmark Extract'!$B$4:$B$500=$B6)*('External DB Benchmark Extract'!$F$4:$F$500=$G6)*('External DB Benchmark Extract'!$G$4:$G$500=$H6)*('External DB Benchmark Extract'!$S$4:$S$500="Yes")*'External DB Benchmark Extract'!$M$4:$M$500*'External DB Benchmark Extract'!$N$4:$N$500)</f>
        <v>59.099999999999994</v>
      </c>
      <c r="AB6" s="29">
        <f>SUMPRODUCT(('Internal Benchmark Data'!$B$4:$B$500=$B6)*('Internal Benchmark Data'!$F$4:$F$500=$G6)*('Internal Benchmark Data'!$G$4:$G$500=$H6)*('Internal Benchmark Data'!$S$4:$S$500="Yes")*'Internal Benchmark Data'!$N$4:$N$500)+SUMPRODUCT(('External DB Benchmark Extract'!$B$4:$B$500=$B6)*('External DB Benchmark Extract'!$F$4:$F$500=$G6)*('External DB Benchmark Extract'!$G$4:$G$500=$H6)*('External DB Benchmark Extract'!$S$4:$S$500="Yes")*'External DB Benchmark Extract'!$N$4:$N$500)</f>
        <v>10.200000000000001</v>
      </c>
      <c r="AC6" s="28">
        <f>IF($Y6&lt;'Benchmark Settings'!$B$4,"",IFERROR(ROUND((SUMIFS('Internal Benchmark Data'!$M$4:$M$500,'Internal Benchmark Data'!$B$4:$B$500,$B6,'Internal Benchmark Data'!$F$4:$F$500,$G6,'Internal Benchmark Data'!$G$4:$G$500,$H6,'Internal Benchmark Data'!$S$4:$S$500,"Yes")+SUMIFS('External DB Benchmark Extract'!$M$4:$M$500,'External DB Benchmark Extract'!$B$4:$B$500,$B6,'External DB Benchmark Extract'!$F$4:$F$500,$G6,'External DB Benchmark Extract'!$G$4:$G$500,$H6,'External DB Benchmark Extract'!$S$4:$S$500,"Yes"))/$Y6,2),""))</f>
        <v>17.03</v>
      </c>
      <c r="AD6" s="28">
        <f>IF($Y6&lt;'Benchmark Settings'!$B$4,"",IFERROR(ROUND(($Z6+$AA6)/$AB6,2),""))</f>
        <v>17.09</v>
      </c>
      <c r="AE6" s="28">
        <f>IF($Y6&lt;'Benchmark Settings'!$B$4,"",IFERROR(ROUND(MEDIAN(IF(('Internal Benchmark Data'!$B$4:$B$500=$B6)*('Internal Benchmark Data'!$F$4:$F$500=$G6)*('Internal Benchmark Data'!$G$4:$G$500=$H6)*('Internal Benchmark Data'!$S$4:$S$500="Yes"),'Internal Benchmark Data'!$M$4:$M$500)),2),""))</f>
        <v>0</v>
      </c>
      <c r="AF6" s="28">
        <f>IF($Y6&lt;'Benchmark Settings'!$B$4,"",IF('Benchmark Settings'!$B$5="Simple Average",$AC6,IF('Benchmark Settings'!$B$5="Median",$AE6,$AD6)))</f>
        <v>17.09</v>
      </c>
      <c r="AG6" s="28">
        <f>IF($Y6&lt;'Benchmark Settings'!$B$4,"",IFERROR(ROUND((SUMPRODUCT(('Internal Benchmark Data'!$B$4:$B$500=$B6)*('Internal Benchmark Data'!$F$4:$F$500=$G6)*('Internal Benchmark Data'!$G$4:$G$500=$H6)*('Internal Benchmark Data'!$S$4:$S$500="Yes")*'Internal Benchmark Data'!$L$4:$L$500*'Internal Benchmark Data'!$N$4:$N$500)+SUMPRODUCT(('External DB Benchmark Extract'!$B$4:$B$500=$B6)*('External DB Benchmark Extract'!$F$4:$F$500=$G6)*('External DB Benchmark Extract'!$G$4:$G$500=$H6)*('External DB Benchmark Extract'!$S$4:$S$500="Yes")*'External DB Benchmark Extract'!$L$4:$L$500*'External DB Benchmark Extract'!$N$4:$N$500))/$AB6,2),""))</f>
        <v>370.1</v>
      </c>
      <c r="AH6" s="29">
        <f>IF($Y6&lt;'Benchmark Settings'!$B$4,"",IFERROR(ROUND((SUMPRODUCT(('Internal Benchmark Data'!$B$4:$B$500=$B6)*('Internal Benchmark Data'!$F$4:$F$500=$G6)*('Internal Benchmark Data'!$G$4:$G$500=$H6)*('Internal Benchmark Data'!$S$4:$S$500="Yes")*'Internal Benchmark Data'!$E$4:$E$500*'Internal Benchmark Data'!$N$4:$N$500)+SUMPRODUCT(('External DB Benchmark Extract'!$B$4:$B$500=$B6)*('External DB Benchmark Extract'!$F$4:$F$500=$G6)*('External DB Benchmark Extract'!$G$4:$G$500=$H6)*('External DB Benchmark Extract'!$S$4:$S$500="Yes")*'External DB Benchmark Extract'!$E$4:$E$500*'External DB Benchmark Extract'!$N$4:$N$500))/$AB6,2),""))</f>
        <v>5.62</v>
      </c>
      <c r="AI6" s="30">
        <f>IFERROR(VLOOKUP($I6,'Location Index Table'!$A:$C,3,FALSE()),'Benchmark Settings'!$B$19)</f>
        <v>1</v>
      </c>
      <c r="AJ6" s="30">
        <f>IF($Y6&lt;'Benchmark Settings'!$B$4,"",IFERROR(ROUND((SUMPRODUCT(('Internal Benchmark Data'!$B$4:$B$500=$B6)*('Internal Benchmark Data'!$F$4:$F$500=$G6)*('Internal Benchmark Data'!$G$4:$G$500=$H6)*('Internal Benchmark Data'!$S$4:$S$500="Yes")*'Internal Benchmark Data'!$I$4:$I$500*'Internal Benchmark Data'!$N$4:$N$500)+SUMPRODUCT(('External DB Benchmark Extract'!$B$4:$B$500=$B6)*('External DB Benchmark Extract'!$F$4:$F$500=$G6)*('External DB Benchmark Extract'!$G$4:$G$500=$H6)*('External DB Benchmark Extract'!$S$4:$S$500="Yes")*'External DB Benchmark Extract'!$I$4:$I$500*'External DB Benchmark Extract'!$N$4:$N$500))/$AB6,4),""))</f>
        <v>0.97209999999999996</v>
      </c>
      <c r="AK6" s="29">
        <f>IF($Y6&lt;'Benchmark Settings'!$B$4,"",IFERROR(ROUND((SUMPRODUCT(('Internal Benchmark Data'!$B$4:$B$500=$B6)*('Internal Benchmark Data'!$F$4:$F$500=$G6)*('Internal Benchmark Data'!$G$4:$G$500=$H6)*('Internal Benchmark Data'!$S$4:$S$500="Yes")*'Internal Benchmark Data'!$K$4:$K$500*'Internal Benchmark Data'!$N$4:$N$500)+SUMPRODUCT(('External DB Benchmark Extract'!$B$4:$B$500=$B6)*('External DB Benchmark Extract'!$F$4:$F$500=$G6)*('External DB Benchmark Extract'!$G$4:$G$500=$H6)*('External DB Benchmark Extract'!$S$4:$S$500="Yes")*'External DB Benchmark Extract'!$K$4:$K$500*'External DB Benchmark Extract'!$N$4:$N$500))/$AB6,2),""))</f>
        <v>5.0599999999999996</v>
      </c>
      <c r="AL6" s="27">
        <f>IFERROR(VLOOKUP($M6,'Index Table'!$A:$C,3,FALSE()),'Benchmark Settings'!$B$20)</f>
        <v>118</v>
      </c>
      <c r="AM6" s="29">
        <f>IF($Y6&lt;'Benchmark Settings'!$B$4,"",IFERROR(ROUND((SUMPRODUCT(('Internal Benchmark Data'!$B$4:$B$500=$B6)*('Internal Benchmark Data'!$F$4:$F$500=$G6)*('Internal Benchmark Data'!$G$4:$G$500=$H6)*('Internal Benchmark Data'!$S$4:$S$500="Yes")*'Internal Benchmark Data'!$R$4:$R$500*'Internal Benchmark Data'!$N$4:$N$500)+SUMPRODUCT(('External DB Benchmark Extract'!$B$4:$B$500=$B6)*('External DB Benchmark Extract'!$F$4:$F$500=$G6)*('External DB Benchmark Extract'!$G$4:$G$500=$H6)*('External DB Benchmark Extract'!$S$4:$S$500="Yes")*'External DB Benchmark Extract'!$R$4:$R$500*'External DB Benchmark Extract'!$N$4:$N$500))/$AB6,2),""))</f>
        <v>111.75</v>
      </c>
      <c r="AN6" s="31">
        <f>IF($Y6&lt;'Benchmark Settings'!$B$4,"",IF($AF6="","",IFERROR(ROUND(MAX('Benchmark Settings'!$B$8,MIN('Benchmark Settings'!$B$9,POWER($F6/$AG6,-'Benchmark Settings'!$B$7))),4),1)))</f>
        <v>1.0238</v>
      </c>
      <c r="AO6" s="31">
        <f>IF($Y6&lt;'Benchmark Settings'!$B$4,"",IF($AF6="","",IFERROR(ROUND(MAX('Benchmark Settings'!$B$12,MIN('Benchmark Settings'!$B$13,1+(($J6-$AH6)*'Benchmark Settings'!$B$11))),4),1)))</f>
        <v>1.0114000000000001</v>
      </c>
      <c r="AP6" s="31">
        <f>IF($Y6&lt;'Benchmark Settings'!$B$4,"",IF($AF6="","",IFERROR(ROUND($AI6/$AJ6,4),1)))</f>
        <v>1.0286999999999999</v>
      </c>
      <c r="AQ6" s="31">
        <f>IF($Y6&lt;'Benchmark Settings'!$B$4,"",IF($AF6="","",IFERROR(ROUND(MAX('Benchmark Settings'!$B$16,MIN('Benchmark Settings'!$B$17,1+(($L6-$AK6)*'Benchmark Settings'!$B$15))),4),1)))</f>
        <v>0.99850000000000005</v>
      </c>
      <c r="AR6" s="31">
        <f>IF($Y6&lt;'Benchmark Settings'!$B$4,"",IF($AF6="","",IFERROR(ROUND($AL6/$AM6,4),1)))</f>
        <v>1.0559000000000001</v>
      </c>
      <c r="AS6" s="32">
        <f>IF($Y6&lt;'Benchmark Settings'!$B$4,"",IF($AF6="","",IFERROR(ROUND($AF6*$AN6*$AO6*$AP6*$AQ6*$AR6,2),"")))</f>
        <v>19.190000000000001</v>
      </c>
      <c r="AT6" s="32">
        <f>($N6*$F6)+$O6+$P6+$Q6+$R6-$S6</f>
        <v>5725</v>
      </c>
      <c r="AU6" s="32">
        <f>IF($AS6="","",$AS6*$F6+$O6+$P6+$Q6+$R6-$S6)</f>
        <v>5897.5</v>
      </c>
      <c r="AV6" s="32">
        <f>IF($AS6="","",ROUND($N6-$AS6,2))</f>
        <v>-0.69</v>
      </c>
      <c r="AW6" s="33">
        <f>IF($AS6="","",IFERROR(ROUND($AV6/$AS6,4),""))</f>
        <v>-3.5999999999999997E-2</v>
      </c>
      <c r="AX6" s="34">
        <f>IF($AU6="","",ROUND($AT6-$AU6,0))</f>
        <v>-173</v>
      </c>
      <c r="AY6" s="56">
        <f>IF($Y6&lt;'Benchmark Settings'!$B$4,"",ROUND($AN6*$AO6*$AP6*$AQ6*$AR6,4))</f>
        <v>1.123</v>
      </c>
      <c r="AZ6" s="57" t="str">
        <f>IF($Y6=0,"No Data",IF($Y6&lt;'Benchmark Settings'!$B$4,"Insufficient",IF($Y6&gt;=10,"HIGH",IF($Y6&gt;=6,"MEDIUM","LOW"))))</f>
        <v>HIGH</v>
      </c>
    </row>
    <row r="7" spans="1:52" ht="18" customHeight="1">
      <c r="A7" s="2" t="s">
        <v>459</v>
      </c>
      <c r="B7" s="2" t="s">
        <v>244</v>
      </c>
      <c r="C7" s="2" t="s">
        <v>460</v>
      </c>
      <c r="D7" s="2" t="s">
        <v>461</v>
      </c>
      <c r="E7" s="2" t="s">
        <v>245</v>
      </c>
      <c r="F7" s="25">
        <v>12</v>
      </c>
      <c r="G7" s="2" t="s">
        <v>247</v>
      </c>
      <c r="H7" s="2" t="s">
        <v>202</v>
      </c>
      <c r="I7" s="2" t="s">
        <v>94</v>
      </c>
      <c r="J7" s="25">
        <v>6.5</v>
      </c>
      <c r="K7" s="2" t="s">
        <v>203</v>
      </c>
      <c r="L7" s="25">
        <v>6</v>
      </c>
      <c r="M7" s="2" t="s">
        <v>137</v>
      </c>
      <c r="N7" s="26">
        <v>4200</v>
      </c>
      <c r="O7" s="26">
        <v>0</v>
      </c>
      <c r="P7" s="26">
        <v>1000</v>
      </c>
      <c r="Q7" s="26">
        <v>0</v>
      </c>
      <c r="R7" s="26">
        <v>1500</v>
      </c>
      <c r="S7" s="26">
        <v>0</v>
      </c>
      <c r="T7" s="25">
        <v>7</v>
      </c>
      <c r="U7" s="25">
        <v>4</v>
      </c>
      <c r="V7" s="25">
        <v>1</v>
      </c>
      <c r="W7" s="27">
        <f>COUNTIFS('Internal Benchmark Data'!$B$4:$B$500,$B7,'Internal Benchmark Data'!$F$4:$F$500,$G7,'Internal Benchmark Data'!$G$4:$G$500,$H7,'Internal Benchmark Data'!$S$4:$S$500,"Yes")</f>
        <v>7</v>
      </c>
      <c r="X7" s="27">
        <f>COUNTIFS('External DB Benchmark Extract'!$B$4:$B$500,$B7,'External DB Benchmark Extract'!$F$4:$F$500,$G7,'External DB Benchmark Extract'!$G$4:$G$500,$H7,'External DB Benchmark Extract'!$S$4:$S$500,"Yes")</f>
        <v>3</v>
      </c>
      <c r="Y7" s="27">
        <f>$W7+$X7</f>
        <v>10</v>
      </c>
      <c r="Z7" s="28">
        <f>SUMPRODUCT(('Internal Benchmark Data'!$B$4:$B$500=$B7)*('Internal Benchmark Data'!$F$4:$F$500=$G7)*('Internal Benchmark Data'!$G$4:$G$500=$H7)*('Internal Benchmark Data'!$S$4:$S$500="Yes")*'Internal Benchmark Data'!$M$4:$M$500*'Internal Benchmark Data'!$N$4:$N$500)</f>
        <v>26256</v>
      </c>
      <c r="AA7" s="28">
        <f>SUMPRODUCT(('External DB Benchmark Extract'!$B$4:$B$500=$B7)*('External DB Benchmark Extract'!$F$4:$F$500=$G7)*('External DB Benchmark Extract'!$G$4:$G$500=$H7)*('External DB Benchmark Extract'!$S$4:$S$500="Yes")*'External DB Benchmark Extract'!$M$4:$M$500*'External DB Benchmark Extract'!$N$4:$N$500)</f>
        <v>13568</v>
      </c>
      <c r="AB7" s="29">
        <f>SUMPRODUCT(('Internal Benchmark Data'!$B$4:$B$500=$B7)*('Internal Benchmark Data'!$F$4:$F$500=$G7)*('Internal Benchmark Data'!$G$4:$G$500=$H7)*('Internal Benchmark Data'!$S$4:$S$500="Yes")*'Internal Benchmark Data'!$N$4:$N$500)+SUMPRODUCT(('External DB Benchmark Extract'!$B$4:$B$500=$B7)*('External DB Benchmark Extract'!$F$4:$F$500=$G7)*('External DB Benchmark Extract'!$G$4:$G$500=$H7)*('External DB Benchmark Extract'!$S$4:$S$500="Yes")*'External DB Benchmark Extract'!$N$4:$N$500)</f>
        <v>10.200000000000001</v>
      </c>
      <c r="AC7" s="28">
        <f>IF($Y7&lt;'Benchmark Settings'!$B$4,"",IFERROR(ROUND((SUMIFS('Internal Benchmark Data'!$M$4:$M$500,'Internal Benchmark Data'!$B$4:$B$500,$B7,'Internal Benchmark Data'!$F$4:$F$500,$G7,'Internal Benchmark Data'!$G$4:$G$500,$H7,'Internal Benchmark Data'!$S$4:$S$500,"Yes")+SUMIFS('External DB Benchmark Extract'!$M$4:$M$500,'External DB Benchmark Extract'!$B$4:$B$500,$B7,'External DB Benchmark Extract'!$F$4:$F$500,$G7,'External DB Benchmark Extract'!$G$4:$G$500,$H7,'External DB Benchmark Extract'!$S$4:$S$500,"Yes"))/$Y7,2),""))</f>
        <v>3889</v>
      </c>
      <c r="AD7" s="28">
        <f>IF($Y7&lt;'Benchmark Settings'!$B$4,"",IFERROR(ROUND(($Z7+$AA7)/$AB7,2),""))</f>
        <v>3904.31</v>
      </c>
      <c r="AE7" s="28">
        <f>IF($Y7&lt;'Benchmark Settings'!$B$4,"",IFERROR(ROUND(MEDIAN(IF(('Internal Benchmark Data'!$B$4:$B$500=$B7)*('Internal Benchmark Data'!$F$4:$F$500=$G7)*('Internal Benchmark Data'!$G$4:$G$500=$H7)*('Internal Benchmark Data'!$S$4:$S$500="Yes"),'Internal Benchmark Data'!$M$4:$M$500)),2),""))</f>
        <v>0</v>
      </c>
      <c r="AF7" s="28">
        <f>IF($Y7&lt;'Benchmark Settings'!$B$4,"",IF('Benchmark Settings'!$B$5="Simple Average",$AC7,IF('Benchmark Settings'!$B$5="Median",$AE7,$AD7)))</f>
        <v>3904.31</v>
      </c>
      <c r="AG7" s="28">
        <f>IF($Y7&lt;'Benchmark Settings'!$B$4,"",IFERROR(ROUND((SUMPRODUCT(('Internal Benchmark Data'!$B$4:$B$500=$B7)*('Internal Benchmark Data'!$F$4:$F$500=$G7)*('Internal Benchmark Data'!$G$4:$G$500=$H7)*('Internal Benchmark Data'!$S$4:$S$500="Yes")*'Internal Benchmark Data'!$L$4:$L$500*'Internal Benchmark Data'!$N$4:$N$500)+SUMPRODUCT(('External DB Benchmark Extract'!$B$4:$B$500=$B7)*('External DB Benchmark Extract'!$F$4:$F$500=$G7)*('External DB Benchmark Extract'!$G$4:$G$500=$H7)*('External DB Benchmark Extract'!$S$4:$S$500="Yes")*'External DB Benchmark Extract'!$L$4:$L$500*'External DB Benchmark Extract'!$N$4:$N$500))/$AB7,2),""))</f>
        <v>17.41</v>
      </c>
      <c r="AH7" s="29">
        <f>IF($Y7&lt;'Benchmark Settings'!$B$4,"",IFERROR(ROUND((SUMPRODUCT(('Internal Benchmark Data'!$B$4:$B$500=$B7)*('Internal Benchmark Data'!$F$4:$F$500=$G7)*('Internal Benchmark Data'!$G$4:$G$500=$H7)*('Internal Benchmark Data'!$S$4:$S$500="Yes")*'Internal Benchmark Data'!$E$4:$E$500*'Internal Benchmark Data'!$N$4:$N$500)+SUMPRODUCT(('External DB Benchmark Extract'!$B$4:$B$500=$B7)*('External DB Benchmark Extract'!$F$4:$F$500=$G7)*('External DB Benchmark Extract'!$G$4:$G$500=$H7)*('External DB Benchmark Extract'!$S$4:$S$500="Yes")*'External DB Benchmark Extract'!$E$4:$E$500*'External DB Benchmark Extract'!$N$4:$N$500))/$AB7,2),""))</f>
        <v>6.04</v>
      </c>
      <c r="AI7" s="30">
        <f>IFERROR(VLOOKUP($I7,'Location Index Table'!$A:$C,3,FALSE()),'Benchmark Settings'!$B$19)</f>
        <v>1.07</v>
      </c>
      <c r="AJ7" s="30">
        <f>IF($Y7&lt;'Benchmark Settings'!$B$4,"",IFERROR(ROUND((SUMPRODUCT(('Internal Benchmark Data'!$B$4:$B$500=$B7)*('Internal Benchmark Data'!$F$4:$F$500=$G7)*('Internal Benchmark Data'!$G$4:$G$500=$H7)*('Internal Benchmark Data'!$S$4:$S$500="Yes")*'Internal Benchmark Data'!$I$4:$I$500*'Internal Benchmark Data'!$N$4:$N$500)+SUMPRODUCT(('External DB Benchmark Extract'!$B$4:$B$500=$B7)*('External DB Benchmark Extract'!$F$4:$F$500=$G7)*('External DB Benchmark Extract'!$G$4:$G$500=$H7)*('External DB Benchmark Extract'!$S$4:$S$500="Yes")*'External DB Benchmark Extract'!$I$4:$I$500*'External DB Benchmark Extract'!$N$4:$N$500))/$AB7,4),""))</f>
        <v>1.0017</v>
      </c>
      <c r="AK7" s="29">
        <f>IF($Y7&lt;'Benchmark Settings'!$B$4,"",IFERROR(ROUND((SUMPRODUCT(('Internal Benchmark Data'!$B$4:$B$500=$B7)*('Internal Benchmark Data'!$F$4:$F$500=$G7)*('Internal Benchmark Data'!$G$4:$G$500=$H7)*('Internal Benchmark Data'!$S$4:$S$500="Yes")*'Internal Benchmark Data'!$K$4:$K$500*'Internal Benchmark Data'!$N$4:$N$500)+SUMPRODUCT(('External DB Benchmark Extract'!$B$4:$B$500=$B7)*('External DB Benchmark Extract'!$F$4:$F$500=$G7)*('External DB Benchmark Extract'!$G$4:$G$500=$H7)*('External DB Benchmark Extract'!$S$4:$S$500="Yes")*'External DB Benchmark Extract'!$K$4:$K$500*'External DB Benchmark Extract'!$N$4:$N$500))/$AB7,2),""))</f>
        <v>5.85</v>
      </c>
      <c r="AL7" s="27">
        <f>IFERROR(VLOOKUP($M7,'Index Table'!$A:$C,3,FALSE()),'Benchmark Settings'!$B$20)</f>
        <v>126</v>
      </c>
      <c r="AM7" s="29">
        <f>IF($Y7&lt;'Benchmark Settings'!$B$4,"",IFERROR(ROUND((SUMPRODUCT(('Internal Benchmark Data'!$B$4:$B$500=$B7)*('Internal Benchmark Data'!$F$4:$F$500=$G7)*('Internal Benchmark Data'!$G$4:$G$500=$H7)*('Internal Benchmark Data'!$S$4:$S$500="Yes")*'Internal Benchmark Data'!$R$4:$R$500*'Internal Benchmark Data'!$N$4:$N$500)+SUMPRODUCT(('External DB Benchmark Extract'!$B$4:$B$500=$B7)*('External DB Benchmark Extract'!$F$4:$F$500=$G7)*('External DB Benchmark Extract'!$G$4:$G$500=$H7)*('External DB Benchmark Extract'!$S$4:$S$500="Yes")*'External DB Benchmark Extract'!$R$4:$R$500*'External DB Benchmark Extract'!$N$4:$N$500))/$AB7,2),""))</f>
        <v>117.27</v>
      </c>
      <c r="AN7" s="31">
        <f>IF($Y7&lt;'Benchmark Settings'!$B$4,"",IF($AF7="","",IFERROR(ROUND(MAX('Benchmark Settings'!$B$8,MIN('Benchmark Settings'!$B$9,POWER($F7/$AG7,-'Benchmark Settings'!$B$7))),4),1)))</f>
        <v>1.0226</v>
      </c>
      <c r="AO7" s="31">
        <f>IF($Y7&lt;'Benchmark Settings'!$B$4,"",IF($AF7="","",IFERROR(ROUND(MAX('Benchmark Settings'!$B$12,MIN('Benchmark Settings'!$B$13,1+(($J7-$AH7)*'Benchmark Settings'!$B$11))),4),1)))</f>
        <v>1.0138</v>
      </c>
      <c r="AP7" s="31">
        <f>IF($Y7&lt;'Benchmark Settings'!$B$4,"",IF($AF7="","",IFERROR(ROUND($AI7/$AJ7,4),1)))</f>
        <v>1.0682</v>
      </c>
      <c r="AQ7" s="31">
        <f>IF($Y7&lt;'Benchmark Settings'!$B$4,"",IF($AF7="","",IFERROR(ROUND(MAX('Benchmark Settings'!$B$16,MIN('Benchmark Settings'!$B$17,1+(($L7-$AK7)*'Benchmark Settings'!$B$15))),4),1)))</f>
        <v>1.0038</v>
      </c>
      <c r="AR7" s="31">
        <f>IF($Y7&lt;'Benchmark Settings'!$B$4,"",IF($AF7="","",IFERROR(ROUND($AL7/$AM7,4),1)))</f>
        <v>1.0744</v>
      </c>
      <c r="AS7" s="32">
        <f>IF($Y7&lt;'Benchmark Settings'!$B$4,"",IF($AF7="","",IFERROR(ROUND($AF7*$AN7*$AO7*$AP7*$AQ7*$AR7,2),"")))</f>
        <v>4663.03</v>
      </c>
      <c r="AT7" s="32">
        <f>($N7*$F7)+$O7+$P7+$Q7+$R7-$S7</f>
        <v>52900</v>
      </c>
      <c r="AU7" s="32">
        <f>IF($AS7="","",$AS7*$F7+$O7+$P7+$Q7+$R7-$S7)</f>
        <v>58456.36</v>
      </c>
      <c r="AV7" s="32">
        <f>IF($AS7="","",ROUND($N7-$AS7,2))</f>
        <v>-463.03</v>
      </c>
      <c r="AW7" s="33">
        <f>IF($AS7="","",IFERROR(ROUND($AV7/$AS7,4),""))</f>
        <v>-9.9299999999999999E-2</v>
      </c>
      <c r="AX7" s="34">
        <f>IF($AU7="","",ROUND($AT7-$AU7,0))</f>
        <v>-5556</v>
      </c>
      <c r="AY7" s="56">
        <f>IF($Y7&lt;'Benchmark Settings'!$B$4,"",ROUND($AN7*$AO7*$AP7*$AQ7*$AR7,4))</f>
        <v>1.1942999999999999</v>
      </c>
      <c r="AZ7" s="57" t="str">
        <f>IF($Y7=0,"No Data",IF($Y7&lt;'Benchmark Settings'!$B$4,"Insufficient",IF($Y7&gt;=10,"HIGH",IF($Y7&gt;=6,"MEDIUM","LOW"))))</f>
        <v>HIGH</v>
      </c>
    </row>
    <row r="8" spans="1:52" ht="18" customHeight="1">
      <c r="A8" s="2" t="s">
        <v>462</v>
      </c>
      <c r="B8" s="2" t="s">
        <v>263</v>
      </c>
      <c r="C8" s="2" t="s">
        <v>463</v>
      </c>
      <c r="D8" s="2" t="s">
        <v>464</v>
      </c>
      <c r="E8" s="2" t="s">
        <v>264</v>
      </c>
      <c r="F8" s="25">
        <v>36</v>
      </c>
      <c r="G8" s="2" t="s">
        <v>247</v>
      </c>
      <c r="H8" s="2" t="s">
        <v>202</v>
      </c>
      <c r="I8" s="2" t="s">
        <v>112</v>
      </c>
      <c r="J8" s="25">
        <v>7</v>
      </c>
      <c r="K8" s="2" t="s">
        <v>266</v>
      </c>
      <c r="L8" s="25">
        <v>7</v>
      </c>
      <c r="M8" s="2" t="s">
        <v>141</v>
      </c>
      <c r="N8" s="26">
        <v>1250</v>
      </c>
      <c r="O8" s="26">
        <v>0</v>
      </c>
      <c r="P8" s="26">
        <v>2000</v>
      </c>
      <c r="Q8" s="26">
        <v>4500</v>
      </c>
      <c r="R8" s="26">
        <v>900</v>
      </c>
      <c r="S8" s="26">
        <v>1500</v>
      </c>
      <c r="T8" s="25">
        <v>6</v>
      </c>
      <c r="U8" s="25">
        <v>5</v>
      </c>
      <c r="V8" s="25">
        <v>5</v>
      </c>
      <c r="W8" s="27">
        <f>COUNTIFS('Internal Benchmark Data'!$B$4:$B$500,$B8,'Internal Benchmark Data'!$F$4:$F$500,$G8,'Internal Benchmark Data'!$G$4:$G$500,$H8,'Internal Benchmark Data'!$S$4:$S$500,"Yes")</f>
        <v>7</v>
      </c>
      <c r="X8" s="27">
        <f>COUNTIFS('External DB Benchmark Extract'!$B$4:$B$500,$B8,'External DB Benchmark Extract'!$F$4:$F$500,$G8,'External DB Benchmark Extract'!$G$4:$G$500,$H8,'External DB Benchmark Extract'!$S$4:$S$500,"Yes")</f>
        <v>3</v>
      </c>
      <c r="Y8" s="27">
        <f>$W8+$X8</f>
        <v>10</v>
      </c>
      <c r="Z8" s="28">
        <f>SUMPRODUCT(('Internal Benchmark Data'!$B$4:$B$500=$B8)*('Internal Benchmark Data'!$F$4:$F$500=$G8)*('Internal Benchmark Data'!$G$4:$G$500=$H8)*('Internal Benchmark Data'!$S$4:$S$500="Yes")*'Internal Benchmark Data'!$M$4:$M$500*'Internal Benchmark Data'!$N$4:$N$500)</f>
        <v>8216.5</v>
      </c>
      <c r="AA8" s="28">
        <f>SUMPRODUCT(('External DB Benchmark Extract'!$B$4:$B$500=$B8)*('External DB Benchmark Extract'!$F$4:$F$500=$G8)*('External DB Benchmark Extract'!$G$4:$G$500=$H8)*('External DB Benchmark Extract'!$S$4:$S$500="Yes")*'External DB Benchmark Extract'!$M$4:$M$500*'External DB Benchmark Extract'!$N$4:$N$500)</f>
        <v>4386</v>
      </c>
      <c r="AB8" s="29">
        <f>SUMPRODUCT(('Internal Benchmark Data'!$B$4:$B$500=$B8)*('Internal Benchmark Data'!$F$4:$F$500=$G8)*('Internal Benchmark Data'!$G$4:$G$500=$H8)*('Internal Benchmark Data'!$S$4:$S$500="Yes")*'Internal Benchmark Data'!$N$4:$N$500)+SUMPRODUCT(('External DB Benchmark Extract'!$B$4:$B$500=$B8)*('External DB Benchmark Extract'!$F$4:$F$500=$G8)*('External DB Benchmark Extract'!$G$4:$G$500=$H8)*('External DB Benchmark Extract'!$S$4:$S$500="Yes")*'External DB Benchmark Extract'!$N$4:$N$500)</f>
        <v>10.200000000000001</v>
      </c>
      <c r="AC8" s="28">
        <f>IF($Y8&lt;'Benchmark Settings'!$B$4,"",IFERROR(ROUND((SUMIFS('Internal Benchmark Data'!$M$4:$M$500,'Internal Benchmark Data'!$B$4:$B$500,$B8,'Internal Benchmark Data'!$F$4:$F$500,$G8,'Internal Benchmark Data'!$G$4:$G$500,$H8,'Internal Benchmark Data'!$S$4:$S$500,"Yes")+SUMIFS('External DB Benchmark Extract'!$M$4:$M$500,'External DB Benchmark Extract'!$B$4:$B$500,$B8,'External DB Benchmark Extract'!$F$4:$F$500,$G8,'External DB Benchmark Extract'!$G$4:$G$500,$H8,'External DB Benchmark Extract'!$S$4:$S$500,"Yes"))/$Y8,2),""))</f>
        <v>1228.5</v>
      </c>
      <c r="AD8" s="28">
        <f>IF($Y8&lt;'Benchmark Settings'!$B$4,"",IFERROR(ROUND(($Z8+$AA8)/$AB8,2),""))</f>
        <v>1235.54</v>
      </c>
      <c r="AE8" s="28">
        <f>IF($Y8&lt;'Benchmark Settings'!$B$4,"",IFERROR(ROUND(MEDIAN(IF(('Internal Benchmark Data'!$B$4:$B$500=$B8)*('Internal Benchmark Data'!$F$4:$F$500=$G8)*('Internal Benchmark Data'!$G$4:$G$500=$H8)*('Internal Benchmark Data'!$S$4:$S$500="Yes"),'Internal Benchmark Data'!$M$4:$M$500)),2),""))</f>
        <v>0</v>
      </c>
      <c r="AF8" s="28">
        <f>IF($Y8&lt;'Benchmark Settings'!$B$4,"",IF('Benchmark Settings'!$B$5="Simple Average",$AC8,IF('Benchmark Settings'!$B$5="Median",$AE8,$AD8)))</f>
        <v>1235.54</v>
      </c>
      <c r="AG8" s="28">
        <f>IF($Y8&lt;'Benchmark Settings'!$B$4,"",IFERROR(ROUND((SUMPRODUCT(('Internal Benchmark Data'!$B$4:$B$500=$B8)*('Internal Benchmark Data'!$F$4:$F$500=$G8)*('Internal Benchmark Data'!$G$4:$G$500=$H8)*('Internal Benchmark Data'!$S$4:$S$500="Yes")*'Internal Benchmark Data'!$L$4:$L$500*'Internal Benchmark Data'!$N$4:$N$500)+SUMPRODUCT(('External DB Benchmark Extract'!$B$4:$B$500=$B8)*('External DB Benchmark Extract'!$F$4:$F$500=$G8)*('External DB Benchmark Extract'!$G$4:$G$500=$H8)*('External DB Benchmark Extract'!$S$4:$S$500="Yes")*'External DB Benchmark Extract'!$L$4:$L$500*'External DB Benchmark Extract'!$N$4:$N$500))/$AB8,2),""))</f>
        <v>37.53</v>
      </c>
      <c r="AH8" s="29">
        <f>IF($Y8&lt;'Benchmark Settings'!$B$4,"",IFERROR(ROUND((SUMPRODUCT(('Internal Benchmark Data'!$B$4:$B$500=$B8)*('Internal Benchmark Data'!$F$4:$F$500=$G8)*('Internal Benchmark Data'!$G$4:$G$500=$H8)*('Internal Benchmark Data'!$S$4:$S$500="Yes")*'Internal Benchmark Data'!$E$4:$E$500*'Internal Benchmark Data'!$N$4:$N$500)+SUMPRODUCT(('External DB Benchmark Extract'!$B$4:$B$500=$B8)*('External DB Benchmark Extract'!$F$4:$F$500=$G8)*('External DB Benchmark Extract'!$G$4:$G$500=$H8)*('External DB Benchmark Extract'!$S$4:$S$500="Yes")*'External DB Benchmark Extract'!$E$4:$E$500*'External DB Benchmark Extract'!$N$4:$N$500))/$AB8,2),""))</f>
        <v>6.62</v>
      </c>
      <c r="AI8" s="30">
        <f>IFERROR(VLOOKUP($I8,'Location Index Table'!$A:$C,3,FALSE()),'Benchmark Settings'!$B$19)</f>
        <v>0.88</v>
      </c>
      <c r="AJ8" s="30">
        <f>IF($Y8&lt;'Benchmark Settings'!$B$4,"",IFERROR(ROUND((SUMPRODUCT(('Internal Benchmark Data'!$B$4:$B$500=$B8)*('Internal Benchmark Data'!$F$4:$F$500=$G8)*('Internal Benchmark Data'!$G$4:$G$500=$H8)*('Internal Benchmark Data'!$S$4:$S$500="Yes")*'Internal Benchmark Data'!$I$4:$I$500*'Internal Benchmark Data'!$N$4:$N$500)+SUMPRODUCT(('External DB Benchmark Extract'!$B$4:$B$500=$B8)*('External DB Benchmark Extract'!$F$4:$F$500=$G8)*('External DB Benchmark Extract'!$G$4:$G$500=$H8)*('External DB Benchmark Extract'!$S$4:$S$500="Yes")*'External DB Benchmark Extract'!$I$4:$I$500*'External DB Benchmark Extract'!$N$4:$N$500))/$AB8,4),""))</f>
        <v>0.97499999999999998</v>
      </c>
      <c r="AK8" s="29">
        <f>IF($Y8&lt;'Benchmark Settings'!$B$4,"",IFERROR(ROUND((SUMPRODUCT(('Internal Benchmark Data'!$B$4:$B$500=$B8)*('Internal Benchmark Data'!$F$4:$F$500=$G8)*('Internal Benchmark Data'!$G$4:$G$500=$H8)*('Internal Benchmark Data'!$S$4:$S$500="Yes")*'Internal Benchmark Data'!$K$4:$K$500*'Internal Benchmark Data'!$N$4:$N$500)+SUMPRODUCT(('External DB Benchmark Extract'!$B$4:$B$500=$B8)*('External DB Benchmark Extract'!$F$4:$F$500=$G8)*('External DB Benchmark Extract'!$G$4:$G$500=$H8)*('External DB Benchmark Extract'!$S$4:$S$500="Yes")*'External DB Benchmark Extract'!$K$4:$K$500*'External DB Benchmark Extract'!$N$4:$N$500))/$AB8,2),""))</f>
        <v>7.06</v>
      </c>
      <c r="AL8" s="27">
        <f>IFERROR(VLOOKUP($M8,'Index Table'!$A:$C,3,FALSE()),'Benchmark Settings'!$B$20)</f>
        <v>120</v>
      </c>
      <c r="AM8" s="29">
        <f>IF($Y8&lt;'Benchmark Settings'!$B$4,"",IFERROR(ROUND((SUMPRODUCT(('Internal Benchmark Data'!$B$4:$B$500=$B8)*('Internal Benchmark Data'!$F$4:$F$500=$G8)*('Internal Benchmark Data'!$G$4:$G$500=$H8)*('Internal Benchmark Data'!$S$4:$S$500="Yes")*'Internal Benchmark Data'!$R$4:$R$500*'Internal Benchmark Data'!$N$4:$N$500)+SUMPRODUCT(('External DB Benchmark Extract'!$B$4:$B$500=$B8)*('External DB Benchmark Extract'!$F$4:$F$500=$G8)*('External DB Benchmark Extract'!$G$4:$G$500=$H8)*('External DB Benchmark Extract'!$S$4:$S$500="Yes")*'External DB Benchmark Extract'!$R$4:$R$500*'External DB Benchmark Extract'!$N$4:$N$500))/$AB8,2),""))</f>
        <v>112.75</v>
      </c>
      <c r="AN8" s="31">
        <f>IF($Y8&lt;'Benchmark Settings'!$B$4,"",IF($AF8="","",IFERROR(ROUND(MAX('Benchmark Settings'!$B$8,MIN('Benchmark Settings'!$B$9,POWER($F8/$AG8,-'Benchmark Settings'!$B$7))),4),1)))</f>
        <v>1.0024999999999999</v>
      </c>
      <c r="AO8" s="31">
        <f>IF($Y8&lt;'Benchmark Settings'!$B$4,"",IF($AF8="","",IFERROR(ROUND(MAX('Benchmark Settings'!$B$12,MIN('Benchmark Settings'!$B$13,1+(($J8-$AH8)*'Benchmark Settings'!$B$11))),4),1)))</f>
        <v>1.0114000000000001</v>
      </c>
      <c r="AP8" s="31">
        <f>IF($Y8&lt;'Benchmark Settings'!$B$4,"",IF($AF8="","",IFERROR(ROUND($AI8/$AJ8,4),1)))</f>
        <v>0.90259999999999996</v>
      </c>
      <c r="AQ8" s="31">
        <f>IF($Y8&lt;'Benchmark Settings'!$B$4,"",IF($AF8="","",IFERROR(ROUND(MAX('Benchmark Settings'!$B$16,MIN('Benchmark Settings'!$B$17,1+(($L8-$AK8)*'Benchmark Settings'!$B$15))),4),1)))</f>
        <v>0.99850000000000005</v>
      </c>
      <c r="AR8" s="31">
        <f>IF($Y8&lt;'Benchmark Settings'!$B$4,"",IF($AF8="","",IFERROR(ROUND($AL8/$AM8,4),1)))</f>
        <v>1.0643</v>
      </c>
      <c r="AS8" s="32">
        <f>IF($Y8&lt;'Benchmark Settings'!$B$4,"",IF($AF8="","",IFERROR(ROUND($AF8*$AN8*$AO8*$AP8*$AQ8*$AR8,2),"")))</f>
        <v>1201.6300000000001</v>
      </c>
      <c r="AT8" s="32">
        <f>($N8*$F8)+$O8+$P8+$Q8+$R8-$S8</f>
        <v>50900</v>
      </c>
      <c r="AU8" s="32">
        <f>IF($AS8="","",$AS8*$F8+$O8+$P8+$Q8+$R8-$S8)</f>
        <v>49158.680000000008</v>
      </c>
      <c r="AV8" s="32">
        <f>IF($AS8="","",ROUND($N8-$AS8,2))</f>
        <v>48.37</v>
      </c>
      <c r="AW8" s="33">
        <f>IF($AS8="","",IFERROR(ROUND($AV8/$AS8,4),""))</f>
        <v>4.0300000000000002E-2</v>
      </c>
      <c r="AX8" s="34">
        <f>IF($AU8="","",ROUND($AT8-$AU8,0))</f>
        <v>1741</v>
      </c>
      <c r="AY8" s="56">
        <f>IF($Y8&lt;'Benchmark Settings'!$B$4,"",ROUND($AN8*$AO8*$AP8*$AQ8*$AR8,4))</f>
        <v>0.97260000000000002</v>
      </c>
      <c r="AZ8" s="57" t="str">
        <f>IF($Y8=0,"No Data",IF($Y8&lt;'Benchmark Settings'!$B$4,"Insufficient",IF($Y8&gt;=10,"HIGH",IF($Y8&gt;=6,"MEDIUM","LOW"))))</f>
        <v>HIGH</v>
      </c>
    </row>
    <row r="9" spans="1:52" ht="18" customHeight="1">
      <c r="A9" s="2" t="s">
        <v>465</v>
      </c>
      <c r="B9" s="2" t="s">
        <v>282</v>
      </c>
      <c r="C9" s="2" t="s">
        <v>466</v>
      </c>
      <c r="D9" s="2" t="s">
        <v>467</v>
      </c>
      <c r="E9" s="2" t="s">
        <v>283</v>
      </c>
      <c r="F9" s="25">
        <v>500</v>
      </c>
      <c r="G9" s="2" t="s">
        <v>285</v>
      </c>
      <c r="H9" s="2" t="s">
        <v>202</v>
      </c>
      <c r="I9" s="2" t="s">
        <v>90</v>
      </c>
      <c r="J9" s="25">
        <v>6</v>
      </c>
      <c r="K9" s="2" t="s">
        <v>203</v>
      </c>
      <c r="L9" s="25">
        <v>6</v>
      </c>
      <c r="M9" s="2" t="s">
        <v>145</v>
      </c>
      <c r="N9" s="26">
        <v>41.5</v>
      </c>
      <c r="O9" s="26">
        <v>0</v>
      </c>
      <c r="P9" s="26">
        <v>2500</v>
      </c>
      <c r="Q9" s="26">
        <v>3500</v>
      </c>
      <c r="R9" s="26">
        <v>1200</v>
      </c>
      <c r="S9" s="26">
        <v>1000</v>
      </c>
      <c r="T9" s="25">
        <v>5</v>
      </c>
      <c r="U9" s="25">
        <v>4</v>
      </c>
      <c r="V9" s="25">
        <v>3</v>
      </c>
      <c r="W9" s="27">
        <f>COUNTIFS('Internal Benchmark Data'!$B$4:$B$500,$B9,'Internal Benchmark Data'!$F$4:$F$500,$G9,'Internal Benchmark Data'!$G$4:$G$500,$H9,'Internal Benchmark Data'!$S$4:$S$500,"Yes")</f>
        <v>7</v>
      </c>
      <c r="X9" s="27">
        <f>COUNTIFS('External DB Benchmark Extract'!$B$4:$B$500,$B9,'External DB Benchmark Extract'!$F$4:$F$500,$G9,'External DB Benchmark Extract'!$G$4:$G$500,$H9,'External DB Benchmark Extract'!$S$4:$S$500,"Yes")</f>
        <v>3</v>
      </c>
      <c r="Y9" s="27">
        <f>$W9+$X9</f>
        <v>10</v>
      </c>
      <c r="Z9" s="28">
        <f>SUMPRODUCT(('Internal Benchmark Data'!$B$4:$B$500=$B9)*('Internal Benchmark Data'!$F$4:$F$500=$G9)*('Internal Benchmark Data'!$G$4:$G$500=$H9)*('Internal Benchmark Data'!$S$4:$S$500="Yes")*'Internal Benchmark Data'!$M$4:$M$500*'Internal Benchmark Data'!$N$4:$N$500)</f>
        <v>237.17500000000001</v>
      </c>
      <c r="AA9" s="28">
        <f>SUMPRODUCT(('External DB Benchmark Extract'!$B$4:$B$500=$B9)*('External DB Benchmark Extract'!$F$4:$F$500=$G9)*('External DB Benchmark Extract'!$G$4:$G$500=$H9)*('External DB Benchmark Extract'!$S$4:$S$500="Yes")*'External DB Benchmark Extract'!$M$4:$M$500*'External DB Benchmark Extract'!$N$4:$N$500)</f>
        <v>133.19999999999999</v>
      </c>
      <c r="AB9" s="29">
        <f>SUMPRODUCT(('Internal Benchmark Data'!$B$4:$B$500=$B9)*('Internal Benchmark Data'!$F$4:$F$500=$G9)*('Internal Benchmark Data'!$G$4:$G$500=$H9)*('Internal Benchmark Data'!$S$4:$S$500="Yes")*'Internal Benchmark Data'!$N$4:$N$500)+SUMPRODUCT(('External DB Benchmark Extract'!$B$4:$B$500=$B9)*('External DB Benchmark Extract'!$F$4:$F$500=$G9)*('External DB Benchmark Extract'!$G$4:$G$500=$H9)*('External DB Benchmark Extract'!$S$4:$S$500="Yes")*'External DB Benchmark Extract'!$N$4:$N$500)</f>
        <v>10.200000000000001</v>
      </c>
      <c r="AC9" s="28">
        <f>IF($Y9&lt;'Benchmark Settings'!$B$4,"",IFERROR(ROUND((SUMIFS('Internal Benchmark Data'!$M$4:$M$500,'Internal Benchmark Data'!$B$4:$B$500,$B9,'Internal Benchmark Data'!$F$4:$F$500,$G9,'Internal Benchmark Data'!$G$4:$G$500,$H9,'Internal Benchmark Data'!$S$4:$S$500,"Yes")+SUMIFS('External DB Benchmark Extract'!$M$4:$M$500,'External DB Benchmark Extract'!$B$4:$B$500,$B9,'External DB Benchmark Extract'!$F$4:$F$500,$G9,'External DB Benchmark Extract'!$G$4:$G$500,$H9,'External DB Benchmark Extract'!$S$4:$S$500,"Yes"))/$Y9,2),""))</f>
        <v>36.03</v>
      </c>
      <c r="AD9" s="28">
        <f>IF($Y9&lt;'Benchmark Settings'!$B$4,"",IFERROR(ROUND(($Z9+$AA9)/$AB9,2),""))</f>
        <v>36.31</v>
      </c>
      <c r="AE9" s="28">
        <f>IF($Y9&lt;'Benchmark Settings'!$B$4,"",IFERROR(ROUND(MEDIAN(IF(('Internal Benchmark Data'!$B$4:$B$500=$B9)*('Internal Benchmark Data'!$F$4:$F$500=$G9)*('Internal Benchmark Data'!$G$4:$G$500=$H9)*('Internal Benchmark Data'!$S$4:$S$500="Yes"),'Internal Benchmark Data'!$M$4:$M$500)),2),""))</f>
        <v>0</v>
      </c>
      <c r="AF9" s="28">
        <f>IF($Y9&lt;'Benchmark Settings'!$B$4,"",IF('Benchmark Settings'!$B$5="Simple Average",$AC9,IF('Benchmark Settings'!$B$5="Median",$AE9,$AD9)))</f>
        <v>36.31</v>
      </c>
      <c r="AG9" s="28">
        <f>IF($Y9&lt;'Benchmark Settings'!$B$4,"",IFERROR(ROUND((SUMPRODUCT(('Internal Benchmark Data'!$B$4:$B$500=$B9)*('Internal Benchmark Data'!$F$4:$F$500=$G9)*('Internal Benchmark Data'!$G$4:$G$500=$H9)*('Internal Benchmark Data'!$S$4:$S$500="Yes")*'Internal Benchmark Data'!$L$4:$L$500*'Internal Benchmark Data'!$N$4:$N$500)+SUMPRODUCT(('External DB Benchmark Extract'!$B$4:$B$500=$B9)*('External DB Benchmark Extract'!$F$4:$F$500=$G9)*('External DB Benchmark Extract'!$G$4:$G$500=$H9)*('External DB Benchmark Extract'!$S$4:$S$500="Yes")*'External DB Benchmark Extract'!$L$4:$L$500*'External DB Benchmark Extract'!$N$4:$N$500))/$AB9,2),""))</f>
        <v>649.02</v>
      </c>
      <c r="AH9" s="29">
        <f>IF($Y9&lt;'Benchmark Settings'!$B$4,"",IFERROR(ROUND((SUMPRODUCT(('Internal Benchmark Data'!$B$4:$B$500=$B9)*('Internal Benchmark Data'!$F$4:$F$500=$G9)*('Internal Benchmark Data'!$G$4:$G$500=$H9)*('Internal Benchmark Data'!$S$4:$S$500="Yes")*'Internal Benchmark Data'!$E$4:$E$500*'Internal Benchmark Data'!$N$4:$N$500)+SUMPRODUCT(('External DB Benchmark Extract'!$B$4:$B$500=$B9)*('External DB Benchmark Extract'!$F$4:$F$500=$G9)*('External DB Benchmark Extract'!$G$4:$G$500=$H9)*('External DB Benchmark Extract'!$S$4:$S$500="Yes")*'External DB Benchmark Extract'!$E$4:$E$500*'External DB Benchmark Extract'!$N$4:$N$500))/$AB9,2),""))</f>
        <v>6.07</v>
      </c>
      <c r="AI9" s="30">
        <f>IFERROR(VLOOKUP($I9,'Location Index Table'!$A:$C,3,FALSE()),'Benchmark Settings'!$B$19)</f>
        <v>1</v>
      </c>
      <c r="AJ9" s="30">
        <f>IF($Y9&lt;'Benchmark Settings'!$B$4,"",IFERROR(ROUND((SUMPRODUCT(('Internal Benchmark Data'!$B$4:$B$500=$B9)*('Internal Benchmark Data'!$F$4:$F$500=$G9)*('Internal Benchmark Data'!$G$4:$G$500=$H9)*('Internal Benchmark Data'!$S$4:$S$500="Yes")*'Internal Benchmark Data'!$I$4:$I$500*'Internal Benchmark Data'!$N$4:$N$500)+SUMPRODUCT(('External DB Benchmark Extract'!$B$4:$B$500=$B9)*('External DB Benchmark Extract'!$F$4:$F$500=$G9)*('External DB Benchmark Extract'!$G$4:$G$500=$H9)*('External DB Benchmark Extract'!$S$4:$S$500="Yes")*'External DB Benchmark Extract'!$I$4:$I$500*'External DB Benchmark Extract'!$N$4:$N$500))/$AB9,4),""))</f>
        <v>0.98340000000000005</v>
      </c>
      <c r="AK9" s="29">
        <f>IF($Y9&lt;'Benchmark Settings'!$B$4,"",IFERROR(ROUND((SUMPRODUCT(('Internal Benchmark Data'!$B$4:$B$500=$B9)*('Internal Benchmark Data'!$F$4:$F$500=$G9)*('Internal Benchmark Data'!$G$4:$G$500=$H9)*('Internal Benchmark Data'!$S$4:$S$500="Yes")*'Internal Benchmark Data'!$K$4:$K$500*'Internal Benchmark Data'!$N$4:$N$500)+SUMPRODUCT(('External DB Benchmark Extract'!$B$4:$B$500=$B9)*('External DB Benchmark Extract'!$F$4:$F$500=$G9)*('External DB Benchmark Extract'!$G$4:$G$500=$H9)*('External DB Benchmark Extract'!$S$4:$S$500="Yes")*'External DB Benchmark Extract'!$K$4:$K$500*'External DB Benchmark Extract'!$N$4:$N$500))/$AB9,2),""))</f>
        <v>5.85</v>
      </c>
      <c r="AL9" s="27">
        <f>IFERROR(VLOOKUP($M9,'Index Table'!$A:$C,3,FALSE()),'Benchmark Settings'!$B$20)</f>
        <v>122</v>
      </c>
      <c r="AM9" s="29">
        <f>IF($Y9&lt;'Benchmark Settings'!$B$4,"",IFERROR(ROUND((SUMPRODUCT(('Internal Benchmark Data'!$B$4:$B$500=$B9)*('Internal Benchmark Data'!$F$4:$F$500=$G9)*('Internal Benchmark Data'!$G$4:$G$500=$H9)*('Internal Benchmark Data'!$S$4:$S$500="Yes")*'Internal Benchmark Data'!$R$4:$R$500*'Internal Benchmark Data'!$N$4:$N$500)+SUMPRODUCT(('External DB Benchmark Extract'!$B$4:$B$500=$B9)*('External DB Benchmark Extract'!$F$4:$F$500=$G9)*('External DB Benchmark Extract'!$G$4:$G$500=$H9)*('External DB Benchmark Extract'!$S$4:$S$500="Yes")*'External DB Benchmark Extract'!$R$4:$R$500*'External DB Benchmark Extract'!$N$4:$N$500))/$AB9,2),""))</f>
        <v>113.75</v>
      </c>
      <c r="AN9" s="31">
        <f>IF($Y9&lt;'Benchmark Settings'!$B$4,"",IF($AF9="","",IFERROR(ROUND(MAX('Benchmark Settings'!$B$8,MIN('Benchmark Settings'!$B$9,POWER($F9/$AG9,-'Benchmark Settings'!$B$7))),4),1)))</f>
        <v>1.0158</v>
      </c>
      <c r="AO9" s="31">
        <f>IF($Y9&lt;'Benchmark Settings'!$B$4,"",IF($AF9="","",IFERROR(ROUND(MAX('Benchmark Settings'!$B$12,MIN('Benchmark Settings'!$B$13,1+(($J9-$AH9)*'Benchmark Settings'!$B$11))),4),1)))</f>
        <v>0.99790000000000001</v>
      </c>
      <c r="AP9" s="31">
        <f>IF($Y9&lt;'Benchmark Settings'!$B$4,"",IF($AF9="","",IFERROR(ROUND($AI9/$AJ9,4),1)))</f>
        <v>1.0168999999999999</v>
      </c>
      <c r="AQ9" s="31">
        <f>IF($Y9&lt;'Benchmark Settings'!$B$4,"",IF($AF9="","",IFERROR(ROUND(MAX('Benchmark Settings'!$B$16,MIN('Benchmark Settings'!$B$17,1+(($L9-$AK9)*'Benchmark Settings'!$B$15))),4),1)))</f>
        <v>1.0038</v>
      </c>
      <c r="AR9" s="31">
        <f>IF($Y9&lt;'Benchmark Settings'!$B$4,"",IF($AF9="","",IFERROR(ROUND($AL9/$AM9,4),1)))</f>
        <v>1.0725</v>
      </c>
      <c r="AS9" s="32">
        <f>IF($Y9&lt;'Benchmark Settings'!$B$4,"",IF($AF9="","",IFERROR(ROUND($AF9*$AN9*$AO9*$AP9*$AQ9*$AR9,2),"")))</f>
        <v>40.29</v>
      </c>
      <c r="AT9" s="32">
        <f>($N9*$F9)+$O9+$P9+$Q9+$R9-$S9</f>
        <v>26950</v>
      </c>
      <c r="AU9" s="32">
        <f>IF($AS9="","",$AS9*$F9+$O9+$P9+$Q9+$R9-$S9)</f>
        <v>26345</v>
      </c>
      <c r="AV9" s="32">
        <f>IF($AS9="","",ROUND($N9-$AS9,2))</f>
        <v>1.21</v>
      </c>
      <c r="AW9" s="33">
        <f>IF($AS9="","",IFERROR(ROUND($AV9/$AS9,4),""))</f>
        <v>0.03</v>
      </c>
      <c r="AX9" s="34">
        <f>IF($AU9="","",ROUND($AT9-$AU9,0))</f>
        <v>605</v>
      </c>
      <c r="AY9" s="56">
        <f>IF($Y9&lt;'Benchmark Settings'!$B$4,"",ROUND($AN9*$AO9*$AP9*$AQ9*$AR9,4))</f>
        <v>1.1096999999999999</v>
      </c>
      <c r="AZ9" s="57" t="str">
        <f>IF($Y9=0,"No Data",IF($Y9&lt;'Benchmark Settings'!$B$4,"Insufficient",IF($Y9&gt;=10,"HIGH",IF($Y9&gt;=6,"MEDIUM","LOW"))))</f>
        <v>HIGH</v>
      </c>
    </row>
  </sheetData>
  <mergeCells count="5">
    <mergeCell ref="A2:V2"/>
    <mergeCell ref="AS2:AX2"/>
    <mergeCell ref="AN2:AR2"/>
    <mergeCell ref="A1:AX1"/>
    <mergeCell ref="W2:AM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errorTitle="Unknown location" error="Location not in Location Index Table. Add it there first." promptTitle="Location" prompt="Select from Location Index Table, or type a value and add it to that table." xr:uid="{00000000-0002-0000-0700-000000000000}">
          <x14:formula1>
            <xm:f>'Location Index Table'!$A$4:$A$10</xm:f>
          </x14:formula1>
          <xm:sqref>I5:I500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8"/>
  <sheetViews>
    <sheetView zoomScaleNormal="100" workbookViewId="0">
      <pane ySplit="2" topLeftCell="A3" activePane="bottomLeft" state="frozen"/>
      <selection pane="bottomLeft"/>
    </sheetView>
  </sheetViews>
  <sheetFormatPr defaultColWidth="8.5703125" defaultRowHeight="14.45"/>
  <cols>
    <col min="1" max="1" width="24" customWidth="1"/>
    <col min="2" max="2" width="55" customWidth="1"/>
    <col min="3" max="3" width="30" customWidth="1"/>
    <col min="4" max="5" width="55" customWidth="1"/>
  </cols>
  <sheetData>
    <row r="1" spans="1:5" ht="21.75" customHeight="1">
      <c r="A1" s="78" t="s">
        <v>468</v>
      </c>
      <c r="B1" s="69"/>
      <c r="C1" s="69"/>
      <c r="D1" s="69"/>
      <c r="E1" s="69"/>
    </row>
    <row r="2" spans="1:5" ht="18" customHeight="1">
      <c r="A2" s="64" t="s">
        <v>469</v>
      </c>
      <c r="B2" s="64" t="s">
        <v>470</v>
      </c>
      <c r="C2" s="64" t="s">
        <v>471</v>
      </c>
      <c r="D2" s="64" t="s">
        <v>472</v>
      </c>
      <c r="E2" s="64" t="s">
        <v>473</v>
      </c>
    </row>
    <row r="3" spans="1:5" ht="129.75" customHeight="1">
      <c r="A3" s="35" t="s">
        <v>474</v>
      </c>
      <c r="B3" s="35" t="s">
        <v>475</v>
      </c>
      <c r="C3" s="35" t="s">
        <v>476</v>
      </c>
      <c r="D3" s="35" t="s">
        <v>477</v>
      </c>
      <c r="E3" s="35" t="s">
        <v>478</v>
      </c>
    </row>
    <row r="4" spans="1:5" ht="129.75" customHeight="1">
      <c r="A4" s="36" t="s">
        <v>479</v>
      </c>
      <c r="B4" s="36" t="s">
        <v>480</v>
      </c>
      <c r="C4" s="36" t="s">
        <v>481</v>
      </c>
      <c r="D4" s="36" t="s">
        <v>482</v>
      </c>
      <c r="E4" s="36" t="s">
        <v>483</v>
      </c>
    </row>
    <row r="5" spans="1:5" ht="129.75" customHeight="1">
      <c r="A5" s="35" t="s">
        <v>484</v>
      </c>
      <c r="B5" s="35" t="s">
        <v>485</v>
      </c>
      <c r="C5" s="35" t="s">
        <v>486</v>
      </c>
      <c r="D5" s="35" t="s">
        <v>487</v>
      </c>
      <c r="E5" s="35" t="s">
        <v>488</v>
      </c>
    </row>
    <row r="6" spans="1:5" ht="129.75" customHeight="1">
      <c r="A6" s="36" t="s">
        <v>489</v>
      </c>
      <c r="B6" s="36" t="s">
        <v>490</v>
      </c>
      <c r="C6" s="36" t="s">
        <v>491</v>
      </c>
      <c r="D6" s="36" t="s">
        <v>492</v>
      </c>
      <c r="E6" s="36" t="s">
        <v>493</v>
      </c>
    </row>
    <row r="7" spans="1:5" ht="129.75" customHeight="1">
      <c r="A7" s="35" t="s">
        <v>494</v>
      </c>
      <c r="B7" s="35" t="s">
        <v>495</v>
      </c>
      <c r="C7" s="35" t="s">
        <v>496</v>
      </c>
      <c r="D7" s="35" t="s">
        <v>497</v>
      </c>
      <c r="E7" s="35" t="s">
        <v>498</v>
      </c>
    </row>
    <row r="8" spans="1:5" ht="129.75" customHeight="1">
      <c r="A8" s="36" t="s">
        <v>499</v>
      </c>
      <c r="B8" s="36" t="s">
        <v>500</v>
      </c>
      <c r="C8" s="36" t="s">
        <v>501</v>
      </c>
      <c r="D8" s="36" t="s">
        <v>502</v>
      </c>
      <c r="E8" s="36" t="s">
        <v>503</v>
      </c>
    </row>
  </sheetData>
  <mergeCells count="1">
    <mergeCell ref="A1:E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0"/>
  <sheetViews>
    <sheetView zoomScaleNormal="100" workbookViewId="0">
      <pane ySplit="2" topLeftCell="A3" activePane="bottomLeft" state="frozen"/>
      <selection pane="bottomLeft"/>
    </sheetView>
  </sheetViews>
  <sheetFormatPr defaultColWidth="8.5703125" defaultRowHeight="14.45"/>
  <cols>
    <col min="1" max="1" width="10" customWidth="1"/>
    <col min="2" max="2" width="30" customWidth="1"/>
    <col min="3" max="3" width="12" customWidth="1"/>
    <col min="4" max="4" width="65" customWidth="1"/>
    <col min="5" max="5" width="35" customWidth="1"/>
    <col min="6" max="6" width="55" customWidth="1"/>
  </cols>
  <sheetData>
    <row r="1" spans="1:6" ht="21.75" customHeight="1">
      <c r="A1" s="78" t="s">
        <v>504</v>
      </c>
      <c r="B1" s="69"/>
      <c r="C1" s="69"/>
      <c r="D1" s="69"/>
      <c r="E1" s="69"/>
      <c r="F1" s="69"/>
    </row>
    <row r="2" spans="1:6" ht="18" customHeight="1">
      <c r="A2" s="64" t="s">
        <v>505</v>
      </c>
      <c r="B2" s="64" t="s">
        <v>506</v>
      </c>
      <c r="C2" s="64" t="s">
        <v>507</v>
      </c>
      <c r="D2" s="64" t="s">
        <v>508</v>
      </c>
      <c r="E2" s="64" t="s">
        <v>509</v>
      </c>
      <c r="F2" s="64" t="s">
        <v>510</v>
      </c>
    </row>
    <row r="3" spans="1:6" ht="69.75" customHeight="1">
      <c r="A3" s="35" t="s">
        <v>511</v>
      </c>
      <c r="B3" s="35" t="s">
        <v>372</v>
      </c>
      <c r="C3" s="35" t="s">
        <v>512</v>
      </c>
      <c r="D3" s="35" t="s">
        <v>513</v>
      </c>
      <c r="E3" s="35" t="s">
        <v>514</v>
      </c>
      <c r="F3" s="35" t="s">
        <v>515</v>
      </c>
    </row>
    <row r="4" spans="1:6" ht="69.75" customHeight="1">
      <c r="A4" s="36" t="s">
        <v>516</v>
      </c>
      <c r="B4" s="36" t="s">
        <v>373</v>
      </c>
      <c r="C4" s="36" t="s">
        <v>517</v>
      </c>
      <c r="D4" s="36" t="s">
        <v>518</v>
      </c>
      <c r="E4" s="36" t="s">
        <v>519</v>
      </c>
      <c r="F4" s="36" t="s">
        <v>520</v>
      </c>
    </row>
    <row r="5" spans="1:6" ht="69.75" customHeight="1">
      <c r="A5" s="35" t="s">
        <v>521</v>
      </c>
      <c r="B5" s="35" t="s">
        <v>374</v>
      </c>
      <c r="C5" s="35" t="s">
        <v>522</v>
      </c>
      <c r="D5" s="35" t="s">
        <v>523</v>
      </c>
      <c r="E5" s="35" t="s">
        <v>524</v>
      </c>
      <c r="F5" s="35" t="s">
        <v>525</v>
      </c>
    </row>
    <row r="6" spans="1:6" ht="69.75" customHeight="1">
      <c r="A6" s="36" t="s">
        <v>526</v>
      </c>
      <c r="B6" s="36" t="s">
        <v>375</v>
      </c>
      <c r="C6" s="36" t="s">
        <v>527</v>
      </c>
      <c r="D6" s="36" t="s">
        <v>528</v>
      </c>
      <c r="E6" s="36" t="s">
        <v>529</v>
      </c>
      <c r="F6" s="36" t="s">
        <v>530</v>
      </c>
    </row>
    <row r="7" spans="1:6" ht="69.75" customHeight="1">
      <c r="A7" s="35" t="s">
        <v>531</v>
      </c>
      <c r="B7" s="35" t="s">
        <v>376</v>
      </c>
      <c r="C7" s="35" t="s">
        <v>532</v>
      </c>
      <c r="D7" s="35" t="s">
        <v>533</v>
      </c>
      <c r="E7" s="35" t="s">
        <v>534</v>
      </c>
      <c r="F7" s="35" t="s">
        <v>535</v>
      </c>
    </row>
    <row r="8" spans="1:6" ht="69.75" customHeight="1">
      <c r="A8" s="36" t="s">
        <v>536</v>
      </c>
      <c r="B8" s="36" t="s">
        <v>377</v>
      </c>
      <c r="C8" s="36" t="s">
        <v>537</v>
      </c>
      <c r="D8" s="36" t="s">
        <v>538</v>
      </c>
      <c r="E8" s="36" t="s">
        <v>539</v>
      </c>
      <c r="F8" s="36" t="s">
        <v>540</v>
      </c>
    </row>
    <row r="9" spans="1:6" ht="69.75" customHeight="1">
      <c r="A9" s="35" t="s">
        <v>541</v>
      </c>
      <c r="B9" s="35" t="s">
        <v>542</v>
      </c>
      <c r="C9" s="35" t="s">
        <v>543</v>
      </c>
      <c r="D9" s="35" t="s">
        <v>544</v>
      </c>
      <c r="E9" s="35" t="s">
        <v>545</v>
      </c>
      <c r="F9" s="35" t="s">
        <v>546</v>
      </c>
    </row>
    <row r="10" spans="1:6" ht="69.75" customHeight="1">
      <c r="A10" s="36" t="s">
        <v>547</v>
      </c>
      <c r="B10" s="36" t="s">
        <v>51</v>
      </c>
      <c r="C10" s="36" t="s">
        <v>548</v>
      </c>
      <c r="D10" s="36" t="s">
        <v>549</v>
      </c>
      <c r="E10" s="36" t="s">
        <v>550</v>
      </c>
      <c r="F10" s="36" t="s">
        <v>551</v>
      </c>
    </row>
    <row r="11" spans="1:6" ht="69.75" customHeight="1">
      <c r="A11" s="35" t="s">
        <v>552</v>
      </c>
      <c r="B11" s="35" t="s">
        <v>380</v>
      </c>
      <c r="C11" s="35" t="s">
        <v>553</v>
      </c>
      <c r="D11" s="35" t="s">
        <v>554</v>
      </c>
      <c r="E11" s="35" t="s">
        <v>555</v>
      </c>
      <c r="F11" s="35" t="s">
        <v>556</v>
      </c>
    </row>
    <row r="12" spans="1:6" ht="69.75" customHeight="1">
      <c r="A12" s="36" t="s">
        <v>557</v>
      </c>
      <c r="B12" s="36" t="s">
        <v>558</v>
      </c>
      <c r="C12" s="36" t="s">
        <v>559</v>
      </c>
      <c r="D12" s="36" t="s">
        <v>560</v>
      </c>
      <c r="E12" s="36" t="s">
        <v>561</v>
      </c>
      <c r="F12" s="36" t="s">
        <v>562</v>
      </c>
    </row>
    <row r="13" spans="1:6" ht="69.75" customHeight="1">
      <c r="A13" s="35" t="s">
        <v>563</v>
      </c>
      <c r="B13" s="35" t="s">
        <v>564</v>
      </c>
      <c r="C13" s="35" t="s">
        <v>565</v>
      </c>
      <c r="D13" s="35" t="s">
        <v>566</v>
      </c>
      <c r="E13" s="35" t="s">
        <v>567</v>
      </c>
      <c r="F13" s="35" t="s">
        <v>568</v>
      </c>
    </row>
    <row r="14" spans="1:6" ht="69.75" customHeight="1">
      <c r="A14" s="36" t="s">
        <v>569</v>
      </c>
      <c r="B14" s="36" t="s">
        <v>570</v>
      </c>
      <c r="C14" s="36" t="s">
        <v>571</v>
      </c>
      <c r="D14" s="36" t="s">
        <v>572</v>
      </c>
      <c r="E14" s="36" t="s">
        <v>573</v>
      </c>
      <c r="F14" s="36" t="s">
        <v>574</v>
      </c>
    </row>
    <row r="15" spans="1:6" ht="69.75" customHeight="1">
      <c r="A15" s="35" t="s">
        <v>575</v>
      </c>
      <c r="B15" s="35" t="s">
        <v>576</v>
      </c>
      <c r="C15" s="35" t="s">
        <v>577</v>
      </c>
      <c r="D15" s="35" t="s">
        <v>578</v>
      </c>
      <c r="E15" s="35" t="s">
        <v>579</v>
      </c>
      <c r="F15" s="35" t="s">
        <v>580</v>
      </c>
    </row>
    <row r="16" spans="1:6" ht="69.75" customHeight="1">
      <c r="A16" s="36" t="s">
        <v>581</v>
      </c>
      <c r="B16" s="36" t="s">
        <v>385</v>
      </c>
      <c r="C16" s="36" t="s">
        <v>582</v>
      </c>
      <c r="D16" s="36" t="s">
        <v>583</v>
      </c>
      <c r="E16" s="36" t="s">
        <v>584</v>
      </c>
      <c r="F16" s="36" t="s">
        <v>585</v>
      </c>
    </row>
    <row r="17" spans="1:6" ht="69.75" customHeight="1">
      <c r="A17" s="35" t="s">
        <v>586</v>
      </c>
      <c r="B17" s="35" t="s">
        <v>587</v>
      </c>
      <c r="C17" s="35" t="s">
        <v>588</v>
      </c>
      <c r="D17" s="35" t="s">
        <v>589</v>
      </c>
      <c r="E17" s="35" t="s">
        <v>590</v>
      </c>
      <c r="F17" s="35" t="s">
        <v>591</v>
      </c>
    </row>
    <row r="18" spans="1:6" ht="69.75" customHeight="1">
      <c r="A18" s="36" t="s">
        <v>592</v>
      </c>
      <c r="B18" s="36" t="s">
        <v>593</v>
      </c>
      <c r="C18" s="36" t="s">
        <v>594</v>
      </c>
      <c r="D18" s="36" t="s">
        <v>595</v>
      </c>
      <c r="E18" s="36" t="s">
        <v>596</v>
      </c>
      <c r="F18" s="36" t="s">
        <v>597</v>
      </c>
    </row>
    <row r="19" spans="1:6" ht="69.75" customHeight="1">
      <c r="A19" s="35" t="s">
        <v>598</v>
      </c>
      <c r="B19" s="35" t="s">
        <v>599</v>
      </c>
      <c r="C19" s="35" t="s">
        <v>600</v>
      </c>
      <c r="D19" s="35" t="s">
        <v>601</v>
      </c>
      <c r="E19" s="35" t="s">
        <v>602</v>
      </c>
      <c r="F19" s="35" t="s">
        <v>603</v>
      </c>
    </row>
    <row r="20" spans="1:6" ht="69.75" customHeight="1">
      <c r="A20" s="36" t="s">
        <v>604</v>
      </c>
      <c r="B20" s="36" t="s">
        <v>388</v>
      </c>
      <c r="C20" s="36" t="s">
        <v>605</v>
      </c>
      <c r="D20" s="36" t="s">
        <v>606</v>
      </c>
      <c r="E20" s="36" t="s">
        <v>607</v>
      </c>
      <c r="F20" s="36" t="s">
        <v>608</v>
      </c>
    </row>
    <row r="21" spans="1:6" ht="69.75" customHeight="1">
      <c r="A21" s="35" t="s">
        <v>609</v>
      </c>
      <c r="B21" s="35" t="s">
        <v>389</v>
      </c>
      <c r="C21" s="35" t="s">
        <v>610</v>
      </c>
      <c r="D21" s="35" t="s">
        <v>611</v>
      </c>
      <c r="E21" s="35" t="s">
        <v>612</v>
      </c>
      <c r="F21" s="35" t="s">
        <v>613</v>
      </c>
    </row>
    <row r="22" spans="1:6" ht="69.75" customHeight="1">
      <c r="A22" s="36" t="s">
        <v>614</v>
      </c>
      <c r="B22" s="36" t="s">
        <v>390</v>
      </c>
      <c r="C22" s="36" t="s">
        <v>615</v>
      </c>
      <c r="D22" s="36" t="s">
        <v>616</v>
      </c>
      <c r="E22" s="36" t="s">
        <v>617</v>
      </c>
      <c r="F22" s="36" t="s">
        <v>618</v>
      </c>
    </row>
    <row r="23" spans="1:6" ht="69.75" customHeight="1">
      <c r="A23" s="35" t="s">
        <v>619</v>
      </c>
      <c r="B23" s="35" t="s">
        <v>391</v>
      </c>
      <c r="C23" s="35" t="s">
        <v>620</v>
      </c>
      <c r="D23" s="35" t="s">
        <v>621</v>
      </c>
      <c r="E23" s="35" t="s">
        <v>622</v>
      </c>
      <c r="F23" s="35" t="s">
        <v>623</v>
      </c>
    </row>
    <row r="24" spans="1:6" ht="69.75" customHeight="1">
      <c r="A24" s="36" t="s">
        <v>624</v>
      </c>
      <c r="B24" s="36" t="s">
        <v>625</v>
      </c>
      <c r="C24" s="36" t="s">
        <v>626</v>
      </c>
      <c r="D24" s="36" t="s">
        <v>627</v>
      </c>
      <c r="E24" s="36" t="s">
        <v>628</v>
      </c>
      <c r="F24" s="36" t="s">
        <v>629</v>
      </c>
    </row>
    <row r="25" spans="1:6" ht="69.75" customHeight="1">
      <c r="A25" s="35" t="s">
        <v>630</v>
      </c>
      <c r="B25" s="35" t="s">
        <v>631</v>
      </c>
      <c r="C25" s="35" t="s">
        <v>632</v>
      </c>
      <c r="D25" s="35" t="s">
        <v>633</v>
      </c>
      <c r="E25" s="35" t="s">
        <v>634</v>
      </c>
      <c r="F25" s="35" t="s">
        <v>635</v>
      </c>
    </row>
    <row r="26" spans="1:6" ht="69.75" customHeight="1">
      <c r="A26" s="36" t="s">
        <v>636</v>
      </c>
      <c r="B26" s="36" t="s">
        <v>637</v>
      </c>
      <c r="C26" s="36" t="s">
        <v>638</v>
      </c>
      <c r="D26" s="36" t="s">
        <v>639</v>
      </c>
      <c r="E26" s="36" t="s">
        <v>640</v>
      </c>
      <c r="F26" s="36" t="s">
        <v>641</v>
      </c>
    </row>
    <row r="27" spans="1:6" ht="69.75" customHeight="1">
      <c r="A27" s="35" t="s">
        <v>642</v>
      </c>
      <c r="B27" s="35" t="s">
        <v>643</v>
      </c>
      <c r="C27" s="35" t="s">
        <v>644</v>
      </c>
      <c r="D27" s="35" t="s">
        <v>645</v>
      </c>
      <c r="E27" s="35" t="s">
        <v>646</v>
      </c>
      <c r="F27" s="35" t="s">
        <v>647</v>
      </c>
    </row>
    <row r="28" spans="1:6" ht="69.75" customHeight="1">
      <c r="A28" s="36" t="s">
        <v>648</v>
      </c>
      <c r="B28" s="36" t="s">
        <v>649</v>
      </c>
      <c r="C28" s="36" t="s">
        <v>650</v>
      </c>
      <c r="D28" s="36" t="s">
        <v>651</v>
      </c>
      <c r="E28" s="36" t="s">
        <v>652</v>
      </c>
      <c r="F28" s="36" t="s">
        <v>653</v>
      </c>
    </row>
    <row r="29" spans="1:6" ht="69.75" customHeight="1">
      <c r="A29" s="35" t="s">
        <v>654</v>
      </c>
      <c r="B29" s="35" t="s">
        <v>655</v>
      </c>
      <c r="C29" s="35" t="s">
        <v>656</v>
      </c>
      <c r="D29" s="35" t="s">
        <v>657</v>
      </c>
      <c r="E29" s="35" t="s">
        <v>658</v>
      </c>
      <c r="F29" s="35" t="s">
        <v>659</v>
      </c>
    </row>
    <row r="30" spans="1:6" ht="69.75" customHeight="1">
      <c r="A30" s="36" t="s">
        <v>660</v>
      </c>
      <c r="B30" s="36" t="s">
        <v>661</v>
      </c>
      <c r="C30" s="36" t="s">
        <v>662</v>
      </c>
      <c r="D30" s="36" t="s">
        <v>663</v>
      </c>
      <c r="E30" s="36" t="s">
        <v>664</v>
      </c>
      <c r="F30" s="36" t="s">
        <v>665</v>
      </c>
    </row>
  </sheetData>
  <mergeCells count="1">
    <mergeCell ref="A1:F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4"/>
  <sheetViews>
    <sheetView zoomScaleNormal="100" workbookViewId="0"/>
  </sheetViews>
  <sheetFormatPr defaultColWidth="8.5703125" defaultRowHeight="14.45"/>
  <cols>
    <col min="1" max="2" width="30" customWidth="1"/>
    <col min="3" max="3" width="22" customWidth="1"/>
    <col min="4" max="4" width="12" customWidth="1"/>
    <col min="5" max="5" width="14" customWidth="1"/>
    <col min="6" max="6" width="30" customWidth="1"/>
    <col min="7" max="7" width="20" customWidth="1"/>
    <col min="8" max="8" width="22" customWidth="1"/>
  </cols>
  <sheetData>
    <row r="1" spans="1:8" ht="24" customHeight="1">
      <c r="A1" s="88" t="s">
        <v>666</v>
      </c>
      <c r="B1" s="69"/>
      <c r="C1" s="69"/>
      <c r="D1" s="69"/>
      <c r="E1" s="69"/>
      <c r="F1" s="69"/>
      <c r="G1" s="69"/>
      <c r="H1" s="69"/>
    </row>
    <row r="2" spans="1:8" ht="18" customHeight="1">
      <c r="A2" s="64" t="s">
        <v>667</v>
      </c>
      <c r="B2" s="58" t="s">
        <v>668</v>
      </c>
      <c r="C2" s="1" t="s">
        <v>45</v>
      </c>
      <c r="D2" s="5"/>
      <c r="E2" s="1" t="s">
        <v>357</v>
      </c>
      <c r="F2" s="64" t="s">
        <v>669</v>
      </c>
      <c r="G2" s="1" t="s">
        <v>374</v>
      </c>
      <c r="H2" s="64" t="s">
        <v>670</v>
      </c>
    </row>
    <row r="3" spans="1:8" ht="34.5" customHeight="1">
      <c r="A3" s="8" t="s">
        <v>671</v>
      </c>
      <c r="B3" s="59" t="s">
        <v>672</v>
      </c>
      <c r="C3" s="37">
        <f>COUNTA('Pricing Calculation'!$A$5:$A$500)</f>
        <v>5</v>
      </c>
      <c r="D3" s="10" t="s">
        <v>673</v>
      </c>
      <c r="E3" s="3" t="s">
        <v>453</v>
      </c>
      <c r="F3" s="38" t="s">
        <v>198</v>
      </c>
      <c r="G3" s="39">
        <f>'Pricing Calculation'!$Y$5</f>
        <v>12</v>
      </c>
      <c r="H3" s="40" t="str">
        <f>IF('Pricing Calculation'!$AX$5="","No benchmark",IF('Pricing Calculation'!$AX$5&gt;0,"Negotiation opportunity",IF('Pricing Calculation'!$AX$5&lt;0,"Better than benchmark","At benchmark")))</f>
        <v>Negotiation opportunity</v>
      </c>
    </row>
    <row r="4" spans="1:8" ht="34.5" customHeight="1">
      <c r="A4" s="6" t="s">
        <v>674</v>
      </c>
      <c r="B4" s="59" t="s">
        <v>675</v>
      </c>
      <c r="C4" s="41">
        <f>SUM('Pricing Calculation'!$Y$5:$Y$500)</f>
        <v>52</v>
      </c>
      <c r="D4" s="10" t="s">
        <v>676</v>
      </c>
      <c r="E4" s="3" t="s">
        <v>456</v>
      </c>
      <c r="F4" s="38" t="s">
        <v>225</v>
      </c>
      <c r="G4" s="39">
        <f>'Pricing Calculation'!$Y$6</f>
        <v>10</v>
      </c>
      <c r="H4" s="40" t="str">
        <f>IF('Pricing Calculation'!$AX$6="","No benchmark",IF('Pricing Calculation'!$AX$6&gt;0,"Negotiation opportunity",IF('Pricing Calculation'!$AX$6&lt;0,"Better than benchmark","At benchmark")))</f>
        <v>Better than benchmark</v>
      </c>
    </row>
    <row r="5" spans="1:8" ht="34.5" customHeight="1">
      <c r="A5" s="8" t="s">
        <v>677</v>
      </c>
      <c r="B5" s="59" t="s">
        <v>678</v>
      </c>
      <c r="C5" s="41">
        <f>SUM('Pricing Calculation'!$X$5:$X$500)</f>
        <v>17</v>
      </c>
      <c r="D5" s="10" t="s">
        <v>679</v>
      </c>
      <c r="E5" s="3" t="s">
        <v>459</v>
      </c>
      <c r="F5" s="38" t="s">
        <v>244</v>
      </c>
      <c r="G5" s="39">
        <f>'Pricing Calculation'!$Y$7</f>
        <v>10</v>
      </c>
      <c r="H5" s="40" t="str">
        <f>IF('Pricing Calculation'!$AX$7="","No benchmark",IF('Pricing Calculation'!$AX$7&gt;0,"Negotiation opportunity",IF('Pricing Calculation'!$AX$7&lt;0,"Better than benchmark","At benchmark")))</f>
        <v>Better than benchmark</v>
      </c>
    </row>
    <row r="6" spans="1:8" ht="34.5" customHeight="1">
      <c r="A6" s="6" t="s">
        <v>680</v>
      </c>
      <c r="B6" s="59" t="s">
        <v>681</v>
      </c>
      <c r="C6" s="42">
        <f>SUMIF('Pricing Calculation'!$AX$5:$AX$500,"&gt;0")</f>
        <v>8448</v>
      </c>
      <c r="D6" s="10" t="s">
        <v>682</v>
      </c>
      <c r="E6" s="3" t="s">
        <v>462</v>
      </c>
      <c r="F6" s="38" t="s">
        <v>263</v>
      </c>
      <c r="G6" s="39">
        <f>'Pricing Calculation'!$Y$8</f>
        <v>10</v>
      </c>
      <c r="H6" s="40" t="str">
        <f>IF('Pricing Calculation'!$AX$8="","No benchmark",IF('Pricing Calculation'!$AX$8&gt;0,"Negotiation opportunity",IF('Pricing Calculation'!$AX$8&lt;0,"Better than benchmark","At benchmark")))</f>
        <v>Negotiation opportunity</v>
      </c>
    </row>
    <row r="7" spans="1:8" ht="34.5" customHeight="1">
      <c r="A7" s="8" t="s">
        <v>683</v>
      </c>
      <c r="B7" s="59" t="s">
        <v>684</v>
      </c>
      <c r="C7" s="37">
        <f>IFERROR(AVERAGEIF('Pricing Calculation'!$AW$5:$AW$500,"&lt;&gt;",'Pricing Calculation'!$AW$5:$AW$500),"")</f>
        <v>7.1999999999999842E-4</v>
      </c>
      <c r="D7" s="10" t="s">
        <v>685</v>
      </c>
      <c r="E7" s="3" t="s">
        <v>465</v>
      </c>
      <c r="F7" s="38" t="s">
        <v>282</v>
      </c>
      <c r="G7" s="39">
        <f>'Pricing Calculation'!$Y$9</f>
        <v>10</v>
      </c>
      <c r="H7" s="40" t="str">
        <f>IF('Pricing Calculation'!$AX$9="","No benchmark",IF('Pricing Calculation'!$AX$9&gt;0,"Negotiation opportunity",IF('Pricing Calculation'!$AX$9&lt;0,"Better than benchmark","At benchmark")))</f>
        <v>Negotiation opportunity</v>
      </c>
    </row>
    <row r="8" spans="1:8" ht="34.5" customHeight="1">
      <c r="A8" s="6" t="s">
        <v>686</v>
      </c>
      <c r="B8" s="59" t="s">
        <v>687</v>
      </c>
      <c r="C8" s="37">
        <f>COUNTIF('Pricing Calculation'!$AX$5:$AX$500,"&gt;0")</f>
        <v>3</v>
      </c>
      <c r="D8" s="10" t="s">
        <v>688</v>
      </c>
    </row>
    <row r="9" spans="1:8" ht="34.5" customHeight="1">
      <c r="A9" s="8" t="s">
        <v>689</v>
      </c>
      <c r="B9" s="59" t="s">
        <v>690</v>
      </c>
      <c r="C9" s="37">
        <f>COUNTIF('Pricing Calculation'!$AX$5:$AX$500,"&lt;0")</f>
        <v>2</v>
      </c>
      <c r="D9" s="10" t="s">
        <v>691</v>
      </c>
    </row>
    <row r="10" spans="1:8" ht="34.5" customHeight="1">
      <c r="A10" s="6" t="s">
        <v>692</v>
      </c>
      <c r="B10" s="59" t="s">
        <v>693</v>
      </c>
      <c r="C10" s="37">
        <f>COUNTIF('Pricing Calculation'!$Y$5:$Y$500,"&lt;3")</f>
        <v>0</v>
      </c>
      <c r="D10" s="10" t="s">
        <v>694</v>
      </c>
    </row>
    <row r="11" spans="1:8" ht="30" customHeight="1">
      <c r="A11" s="63" t="s">
        <v>695</v>
      </c>
      <c r="B11" s="59" t="s">
        <v>696</v>
      </c>
      <c r="C11" s="60">
        <f>ABS(SUMIF('Pricing Calculation'!$AX$5:$AX$500,"&lt;0"))</f>
        <v>5729</v>
      </c>
    </row>
    <row r="12" spans="1:8" ht="30" customHeight="1">
      <c r="A12" s="63" t="s">
        <v>697</v>
      </c>
      <c r="B12" s="59" t="s">
        <v>698</v>
      </c>
      <c r="C12" s="61">
        <f>IFERROR(MAX('Pricing Calculation'!$AW$5:$AW$500),"")</f>
        <v>6.8599999999999994E-2</v>
      </c>
    </row>
    <row r="13" spans="1:8" ht="30" customHeight="1">
      <c r="A13" s="63" t="s">
        <v>699</v>
      </c>
      <c r="B13" s="59" t="s">
        <v>700</v>
      </c>
      <c r="C13" s="63">
        <f>COUNTIF('Pricing Calculation'!$AZ$5:$AZ$500,"HIGH")</f>
        <v>5</v>
      </c>
    </row>
    <row r="14" spans="1:8" ht="30" customHeight="1">
      <c r="A14" s="63" t="s">
        <v>701</v>
      </c>
      <c r="B14" s="59" t="s">
        <v>702</v>
      </c>
      <c r="C14" s="63">
        <f>COUNTIF('Pricing Calculation'!$AZ$5:$AZ$500,"MEDIUM")</f>
        <v>0</v>
      </c>
    </row>
    <row r="15" spans="1:8" ht="30" customHeight="1">
      <c r="A15" s="63" t="s">
        <v>703</v>
      </c>
      <c r="B15" s="59" t="s">
        <v>704</v>
      </c>
      <c r="C15" s="63">
        <f>COUNTIF('Pricing Calculation'!$AZ$5:$AZ$500,"LOW")</f>
        <v>0</v>
      </c>
    </row>
    <row r="18" spans="1:4" ht="21.95" customHeight="1">
      <c r="A18" s="89" t="s">
        <v>705</v>
      </c>
      <c r="B18" s="69"/>
      <c r="C18" s="69"/>
      <c r="D18" s="69"/>
    </row>
    <row r="19" spans="1:4" ht="21.95" customHeight="1">
      <c r="A19" s="62" t="s">
        <v>706</v>
      </c>
      <c r="B19" s="65" t="s">
        <v>707</v>
      </c>
      <c r="C19" s="87" t="s">
        <v>37</v>
      </c>
      <c r="D19" s="72"/>
    </row>
    <row r="20" spans="1:4" ht="21.95" customHeight="1">
      <c r="A20" s="62" t="s">
        <v>708</v>
      </c>
      <c r="B20" s="65" t="s">
        <v>709</v>
      </c>
      <c r="C20" s="87" t="s">
        <v>37</v>
      </c>
      <c r="D20" s="72"/>
    </row>
    <row r="21" spans="1:4" ht="21.95" customHeight="1">
      <c r="A21" s="62" t="s">
        <v>710</v>
      </c>
      <c r="B21" s="65" t="s">
        <v>711</v>
      </c>
      <c r="C21" s="87" t="s">
        <v>37</v>
      </c>
      <c r="D21" s="72"/>
    </row>
    <row r="22" spans="1:4" ht="21.95" customHeight="1">
      <c r="A22" s="62" t="s">
        <v>712</v>
      </c>
      <c r="B22" s="65" t="s">
        <v>713</v>
      </c>
      <c r="C22" s="86" t="s">
        <v>40</v>
      </c>
      <c r="D22" s="72"/>
    </row>
    <row r="23" spans="1:4" ht="21.95" customHeight="1">
      <c r="A23" s="62" t="s">
        <v>714</v>
      </c>
      <c r="B23" s="65" t="s">
        <v>715</v>
      </c>
      <c r="C23" s="86"/>
      <c r="D23" s="72"/>
    </row>
    <row r="24" spans="1:4" ht="21.95" customHeight="1">
      <c r="A24" s="62" t="s">
        <v>716</v>
      </c>
      <c r="B24" s="65" t="s">
        <v>717</v>
      </c>
      <c r="C24" s="86"/>
      <c r="D24" s="72"/>
    </row>
  </sheetData>
  <mergeCells count="8">
    <mergeCell ref="C24:D24"/>
    <mergeCell ref="C19:D19"/>
    <mergeCell ref="C22:D22"/>
    <mergeCell ref="A1:H1"/>
    <mergeCell ref="C23:D23"/>
    <mergeCell ref="C20:D20"/>
    <mergeCell ref="A18:D18"/>
    <mergeCell ref="C21:D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Nicholas Geelen</dc:creator>
  <cp:keywords/>
  <dc:description/>
  <cp:lastModifiedBy/>
  <cp:revision>0</cp:revision>
  <dcterms:created xsi:type="dcterms:W3CDTF">2026-05-18T05:49:41Z</dcterms:created>
  <dcterms:modified xsi:type="dcterms:W3CDTF">2026-07-16T09:26:53Z</dcterms:modified>
  <cp:category/>
  <cp:contentStatus/>
</cp:coreProperties>
</file>